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nana\OneDrive\Desktop\Coding Ninjas\Excel and Power Query\Case Study\"/>
    </mc:Choice>
  </mc:AlternateContent>
  <xr:revisionPtr revIDLastSave="0" documentId="13_ncr:1_{CF8AC7A5-AC4B-439E-B5A7-6EF9334A2E18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All_India_Index_Upto_April23 (1" sheetId="1" r:id="rId1"/>
    <sheet name="Cleaned Data" sheetId="2" r:id="rId2"/>
    <sheet name="PS1" sheetId="3" r:id="rId3"/>
    <sheet name="PS2" sheetId="4" r:id="rId4"/>
    <sheet name="PS3" sheetId="5" r:id="rId5"/>
    <sheet name="PS4" sheetId="6" r:id="rId6"/>
    <sheet name="PS5" sheetId="7" r:id="rId7"/>
    <sheet name="Imported Oil Prices" sheetId="8" r:id="rId8"/>
  </sheets>
  <definedNames>
    <definedName name="_xlnm._FilterDatabase" localSheetId="2" hidden="1">'PS1'!$F$11:$F$34</definedName>
    <definedName name="ExternalData_1" localSheetId="1" hidden="1">'Cleaned Data'!$A$1:$AD$373</definedName>
    <definedName name="_xlnm.Extract" localSheetId="2">'PS1'!$F$3</definedName>
    <definedName name="SECTOR">'PS1'!$F$1</definedName>
  </definedNames>
  <calcPr calcId="191029" iterate="1" iterateCount="1"/>
</workbook>
</file>

<file path=xl/calcChain.xml><?xml version="1.0" encoding="utf-8"?>
<calcChain xmlns="http://schemas.openxmlformats.org/spreadsheetml/2006/main">
  <c r="I6" i="7" l="1"/>
  <c r="I5" i="7"/>
  <c r="I4" i="7"/>
  <c r="B6" i="7"/>
  <c r="C6" i="7"/>
  <c r="D6" i="7"/>
  <c r="E6" i="7"/>
  <c r="B7" i="7"/>
  <c r="C7" i="7"/>
  <c r="D7" i="7"/>
  <c r="E7" i="7"/>
  <c r="B8" i="7"/>
  <c r="C8" i="7"/>
  <c r="D8" i="7"/>
  <c r="E8" i="7"/>
  <c r="B9" i="7"/>
  <c r="C9" i="7"/>
  <c r="D9" i="7"/>
  <c r="E9" i="7"/>
  <c r="B10" i="7"/>
  <c r="C10" i="7"/>
  <c r="D10" i="7"/>
  <c r="E10" i="7"/>
  <c r="B11" i="7"/>
  <c r="C11" i="7"/>
  <c r="D11" i="7"/>
  <c r="E11" i="7"/>
  <c r="B12" i="7"/>
  <c r="C12" i="7"/>
  <c r="D12" i="7"/>
  <c r="E12" i="7"/>
  <c r="B13" i="7"/>
  <c r="C13" i="7"/>
  <c r="D13" i="7"/>
  <c r="E13" i="7"/>
  <c r="B14" i="7"/>
  <c r="C14" i="7"/>
  <c r="D14" i="7"/>
  <c r="E14" i="7"/>
  <c r="B15" i="7"/>
  <c r="C15" i="7"/>
  <c r="D15" i="7"/>
  <c r="E15" i="7"/>
  <c r="B16" i="7"/>
  <c r="C16" i="7"/>
  <c r="D16" i="7"/>
  <c r="E16" i="7"/>
  <c r="B17" i="7"/>
  <c r="C17" i="7"/>
  <c r="D17" i="7"/>
  <c r="E17" i="7"/>
  <c r="B18" i="7"/>
  <c r="C18" i="7"/>
  <c r="D18" i="7"/>
  <c r="E18" i="7"/>
  <c r="B19" i="7"/>
  <c r="C19" i="7"/>
  <c r="D19" i="7"/>
  <c r="E19" i="7"/>
  <c r="B20" i="7"/>
  <c r="C20" i="7"/>
  <c r="D20" i="7"/>
  <c r="E20" i="7"/>
  <c r="B21" i="7"/>
  <c r="C21" i="7"/>
  <c r="D21" i="7"/>
  <c r="E21" i="7"/>
  <c r="B22" i="7"/>
  <c r="C22" i="7"/>
  <c r="D22" i="7"/>
  <c r="E22" i="7"/>
  <c r="B23" i="7"/>
  <c r="C23" i="7"/>
  <c r="D23" i="7"/>
  <c r="E23" i="7"/>
  <c r="B24" i="7"/>
  <c r="C24" i="7"/>
  <c r="D24" i="7"/>
  <c r="E24" i="7"/>
  <c r="B25" i="7"/>
  <c r="C25" i="7"/>
  <c r="D25" i="7"/>
  <c r="E25" i="7"/>
  <c r="B26" i="7"/>
  <c r="C26" i="7"/>
  <c r="D26" i="7"/>
  <c r="E26" i="7"/>
  <c r="B27" i="7"/>
  <c r="C27" i="7"/>
  <c r="D27" i="7"/>
  <c r="E27" i="7"/>
  <c r="B28" i="7"/>
  <c r="C28" i="7"/>
  <c r="D28" i="7"/>
  <c r="E28" i="7"/>
  <c r="C5" i="7"/>
  <c r="D5" i="7"/>
  <c r="E5" i="7"/>
  <c r="B5" i="7"/>
  <c r="K48" i="6"/>
  <c r="J48" i="6"/>
  <c r="I48" i="6"/>
  <c r="H48" i="6"/>
  <c r="G48" i="6"/>
  <c r="F48" i="6"/>
  <c r="E48" i="6"/>
  <c r="D48" i="6"/>
  <c r="C48" i="6"/>
  <c r="K34" i="6"/>
  <c r="J34" i="6"/>
  <c r="I34" i="6"/>
  <c r="H34" i="6"/>
  <c r="G34" i="6"/>
  <c r="F34" i="6"/>
  <c r="E34" i="6"/>
  <c r="D34" i="6"/>
  <c r="C34" i="6"/>
  <c r="K50" i="6"/>
  <c r="K51" i="6"/>
  <c r="K52" i="6"/>
  <c r="K53" i="6"/>
  <c r="K54" i="6"/>
  <c r="K55" i="6"/>
  <c r="K56" i="6"/>
  <c r="K57" i="6"/>
  <c r="K58" i="6"/>
  <c r="J50" i="6"/>
  <c r="J51" i="6"/>
  <c r="J52" i="6"/>
  <c r="J53" i="6"/>
  <c r="J54" i="6"/>
  <c r="J55" i="6"/>
  <c r="J56" i="6"/>
  <c r="J57" i="6"/>
  <c r="J58" i="6"/>
  <c r="I50" i="6"/>
  <c r="I51" i="6"/>
  <c r="I52" i="6"/>
  <c r="I53" i="6"/>
  <c r="I54" i="6"/>
  <c r="I55" i="6"/>
  <c r="I56" i="6"/>
  <c r="I57" i="6"/>
  <c r="I58" i="6"/>
  <c r="H50" i="6"/>
  <c r="H51" i="6"/>
  <c r="H52" i="6"/>
  <c r="H53" i="6"/>
  <c r="H54" i="6"/>
  <c r="H55" i="6"/>
  <c r="H56" i="6"/>
  <c r="H57" i="6"/>
  <c r="H58" i="6"/>
  <c r="G50" i="6"/>
  <c r="G51" i="6"/>
  <c r="G52" i="6"/>
  <c r="G53" i="6"/>
  <c r="G54" i="6"/>
  <c r="G55" i="6"/>
  <c r="G56" i="6"/>
  <c r="G57" i="6"/>
  <c r="G58" i="6"/>
  <c r="F50" i="6"/>
  <c r="F51" i="6"/>
  <c r="F52" i="6"/>
  <c r="F53" i="6"/>
  <c r="F54" i="6"/>
  <c r="F55" i="6"/>
  <c r="F56" i="6"/>
  <c r="F57" i="6"/>
  <c r="F58" i="6"/>
  <c r="E50" i="6"/>
  <c r="E51" i="6"/>
  <c r="E52" i="6"/>
  <c r="E53" i="6"/>
  <c r="E54" i="6"/>
  <c r="E55" i="6"/>
  <c r="E56" i="6"/>
  <c r="E57" i="6"/>
  <c r="E58" i="6"/>
  <c r="D50" i="6"/>
  <c r="D51" i="6"/>
  <c r="D52" i="6"/>
  <c r="D53" i="6"/>
  <c r="D54" i="6"/>
  <c r="D55" i="6"/>
  <c r="D56" i="6"/>
  <c r="D57" i="6"/>
  <c r="D58" i="6"/>
  <c r="C50" i="6"/>
  <c r="C51" i="6"/>
  <c r="C52" i="6"/>
  <c r="C53" i="6"/>
  <c r="C54" i="6"/>
  <c r="C55" i="6"/>
  <c r="C56" i="6"/>
  <c r="C57" i="6"/>
  <c r="C58" i="6"/>
  <c r="K49" i="6"/>
  <c r="J49" i="6"/>
  <c r="I49" i="6"/>
  <c r="H49" i="6"/>
  <c r="G49" i="6"/>
  <c r="F49" i="6"/>
  <c r="E49" i="6"/>
  <c r="D49" i="6"/>
  <c r="C49" i="6"/>
  <c r="K36" i="6"/>
  <c r="K37" i="6"/>
  <c r="K38" i="6"/>
  <c r="K39" i="6"/>
  <c r="K40" i="6"/>
  <c r="K41" i="6"/>
  <c r="K42" i="6"/>
  <c r="K43" i="6"/>
  <c r="K44" i="6"/>
  <c r="J36" i="6"/>
  <c r="J37" i="6"/>
  <c r="J38" i="6"/>
  <c r="J39" i="6"/>
  <c r="J40" i="6"/>
  <c r="J41" i="6"/>
  <c r="J42" i="6"/>
  <c r="J43" i="6"/>
  <c r="J44" i="6"/>
  <c r="I36" i="6"/>
  <c r="I37" i="6"/>
  <c r="I38" i="6"/>
  <c r="I39" i="6"/>
  <c r="I40" i="6"/>
  <c r="I41" i="6"/>
  <c r="I42" i="6"/>
  <c r="I43" i="6"/>
  <c r="I44" i="6"/>
  <c r="H36" i="6"/>
  <c r="H37" i="6"/>
  <c r="H38" i="6"/>
  <c r="H39" i="6"/>
  <c r="H40" i="6"/>
  <c r="H41" i="6"/>
  <c r="H42" i="6"/>
  <c r="H43" i="6"/>
  <c r="H44" i="6"/>
  <c r="G36" i="6"/>
  <c r="G37" i="6"/>
  <c r="G38" i="6"/>
  <c r="G39" i="6"/>
  <c r="G40" i="6"/>
  <c r="G41" i="6"/>
  <c r="G42" i="6"/>
  <c r="G43" i="6"/>
  <c r="G44" i="6"/>
  <c r="F36" i="6"/>
  <c r="F37" i="6"/>
  <c r="F38" i="6"/>
  <c r="F39" i="6"/>
  <c r="F40" i="6"/>
  <c r="F41" i="6"/>
  <c r="F42" i="6"/>
  <c r="F43" i="6"/>
  <c r="F44" i="6"/>
  <c r="E36" i="6"/>
  <c r="E37" i="6"/>
  <c r="E38" i="6"/>
  <c r="E39" i="6"/>
  <c r="E40" i="6"/>
  <c r="E41" i="6"/>
  <c r="E42" i="6"/>
  <c r="E43" i="6"/>
  <c r="E44" i="6"/>
  <c r="D36" i="6"/>
  <c r="D37" i="6"/>
  <c r="D38" i="6"/>
  <c r="D39" i="6"/>
  <c r="D40" i="6"/>
  <c r="D41" i="6"/>
  <c r="D42" i="6"/>
  <c r="D43" i="6"/>
  <c r="D44" i="6"/>
  <c r="C36" i="6"/>
  <c r="C37" i="6"/>
  <c r="C38" i="6"/>
  <c r="C39" i="6"/>
  <c r="C40" i="6"/>
  <c r="C41" i="6"/>
  <c r="C42" i="6"/>
  <c r="C43" i="6"/>
  <c r="C44" i="6"/>
  <c r="K35" i="6"/>
  <c r="J35" i="6"/>
  <c r="I35" i="6"/>
  <c r="H35" i="6"/>
  <c r="G35" i="6"/>
  <c r="F35" i="6"/>
  <c r="E35" i="6"/>
  <c r="D35" i="6"/>
  <c r="C35" i="6"/>
  <c r="K20" i="6"/>
  <c r="J20" i="6"/>
  <c r="I20" i="6"/>
  <c r="H20" i="6"/>
  <c r="G20" i="6"/>
  <c r="K22" i="6"/>
  <c r="K23" i="6"/>
  <c r="K24" i="6"/>
  <c r="K25" i="6"/>
  <c r="K26" i="6"/>
  <c r="K27" i="6"/>
  <c r="K28" i="6"/>
  <c r="K29" i="6"/>
  <c r="K30" i="6"/>
  <c r="J22" i="6"/>
  <c r="J23" i="6"/>
  <c r="J24" i="6"/>
  <c r="J25" i="6"/>
  <c r="J26" i="6"/>
  <c r="J27" i="6"/>
  <c r="J28" i="6"/>
  <c r="J29" i="6"/>
  <c r="J30" i="6"/>
  <c r="I22" i="6"/>
  <c r="I23" i="6"/>
  <c r="I24" i="6"/>
  <c r="I25" i="6"/>
  <c r="I26" i="6"/>
  <c r="I27" i="6"/>
  <c r="I28" i="6"/>
  <c r="I29" i="6"/>
  <c r="I30" i="6"/>
  <c r="H22" i="6"/>
  <c r="H23" i="6"/>
  <c r="H24" i="6"/>
  <c r="H25" i="6"/>
  <c r="H26" i="6"/>
  <c r="H27" i="6"/>
  <c r="H28" i="6"/>
  <c r="H29" i="6"/>
  <c r="H30" i="6"/>
  <c r="G22" i="6"/>
  <c r="G23" i="6"/>
  <c r="G24" i="6"/>
  <c r="G25" i="6"/>
  <c r="G26" i="6"/>
  <c r="G27" i="6"/>
  <c r="G28" i="6"/>
  <c r="G29" i="6"/>
  <c r="G30" i="6"/>
  <c r="K21" i="6"/>
  <c r="J21" i="6"/>
  <c r="I21" i="6"/>
  <c r="H21" i="6"/>
  <c r="G21" i="6"/>
  <c r="F22" i="6"/>
  <c r="F23" i="6"/>
  <c r="F24" i="6"/>
  <c r="F25" i="6"/>
  <c r="F26" i="6"/>
  <c r="F27" i="6"/>
  <c r="F28" i="6"/>
  <c r="F29" i="6"/>
  <c r="F30" i="6"/>
  <c r="F21" i="6"/>
  <c r="F20" i="6"/>
  <c r="E22" i="6"/>
  <c r="E23" i="6"/>
  <c r="E24" i="6"/>
  <c r="E25" i="6"/>
  <c r="E26" i="6"/>
  <c r="E27" i="6"/>
  <c r="E28" i="6"/>
  <c r="E29" i="6"/>
  <c r="E30" i="6"/>
  <c r="E21" i="6"/>
  <c r="E20" i="6"/>
  <c r="C22" i="6"/>
  <c r="C23" i="6"/>
  <c r="C24" i="6"/>
  <c r="C25" i="6"/>
  <c r="C26" i="6"/>
  <c r="C27" i="6"/>
  <c r="C28" i="6"/>
  <c r="C29" i="6"/>
  <c r="C30" i="6"/>
  <c r="C21" i="6"/>
  <c r="C20" i="6"/>
  <c r="F4" i="8"/>
  <c r="F3" i="8"/>
  <c r="F12" i="8"/>
  <c r="F22" i="8"/>
  <c r="F10" i="8"/>
  <c r="F20" i="8"/>
  <c r="F7" i="8"/>
  <c r="F11" i="8"/>
  <c r="F19" i="8"/>
  <c r="F27" i="8"/>
  <c r="F6" i="8"/>
  <c r="F18" i="8"/>
  <c r="F23" i="8"/>
  <c r="F26" i="8"/>
  <c r="F14" i="8"/>
  <c r="F15" i="8"/>
  <c r="F16" i="8"/>
  <c r="F5" i="8"/>
  <c r="F8" i="8"/>
  <c r="F13" i="8"/>
  <c r="F25" i="8"/>
  <c r="F21" i="8"/>
  <c r="F9" i="8"/>
  <c r="F24" i="8"/>
  <c r="F17" i="8"/>
  <c r="F11" i="7" l="1"/>
  <c r="F27" i="7"/>
  <c r="F26" i="7"/>
  <c r="F9" i="7"/>
  <c r="F24" i="7"/>
  <c r="F16" i="7"/>
  <c r="F8" i="7"/>
  <c r="F10" i="7"/>
  <c r="F23" i="7"/>
  <c r="F22" i="7"/>
  <c r="F14" i="7"/>
  <c r="F6" i="7"/>
  <c r="F19" i="7"/>
  <c r="F25" i="7"/>
  <c r="F15" i="7"/>
  <c r="F21" i="7"/>
  <c r="F13" i="7"/>
  <c r="F18" i="7"/>
  <c r="F17" i="7"/>
  <c r="F7" i="7"/>
  <c r="F28" i="7"/>
  <c r="F20" i="7"/>
  <c r="F12" i="7"/>
  <c r="F5" i="7"/>
  <c r="J36" i="5"/>
  <c r="J37" i="5"/>
  <c r="J38" i="5"/>
  <c r="J39" i="5"/>
  <c r="J40" i="5"/>
  <c r="H47" i="5" s="1"/>
  <c r="J41" i="5"/>
  <c r="J42" i="5"/>
  <c r="J43" i="5"/>
  <c r="J44" i="5"/>
  <c r="J45" i="5"/>
  <c r="J46" i="5"/>
  <c r="J35" i="5"/>
  <c r="G36" i="5"/>
  <c r="G37" i="5"/>
  <c r="G38" i="5"/>
  <c r="G39" i="5"/>
  <c r="G40" i="5"/>
  <c r="G41" i="5"/>
  <c r="G42" i="5"/>
  <c r="G43" i="5"/>
  <c r="G44" i="5"/>
  <c r="G45" i="5"/>
  <c r="G46" i="5"/>
  <c r="G35" i="5"/>
  <c r="E47" i="5" s="1"/>
  <c r="D36" i="5"/>
  <c r="B47" i="5" s="1"/>
  <c r="D37" i="5"/>
  <c r="D38" i="5"/>
  <c r="D39" i="5"/>
  <c r="D40" i="5"/>
  <c r="D41" i="5"/>
  <c r="D42" i="5"/>
  <c r="D43" i="5"/>
  <c r="D44" i="5"/>
  <c r="D45" i="5"/>
  <c r="D46" i="5"/>
  <c r="D35" i="5"/>
  <c r="D13" i="5"/>
  <c r="D12" i="5"/>
  <c r="D11" i="5"/>
  <c r="D10" i="5"/>
  <c r="D9" i="5"/>
  <c r="D8" i="5"/>
  <c r="D7" i="5"/>
  <c r="D6" i="5"/>
  <c r="D5" i="5"/>
  <c r="D4" i="5"/>
  <c r="D3" i="5"/>
  <c r="D2" i="5"/>
  <c r="C13" i="5"/>
  <c r="C12" i="5"/>
  <c r="C11" i="5"/>
  <c r="C10" i="5"/>
  <c r="C9" i="5"/>
  <c r="C8" i="5"/>
  <c r="C2" i="5"/>
  <c r="C17" i="5" s="1"/>
  <c r="C7" i="5"/>
  <c r="C6" i="5"/>
  <c r="C5" i="5"/>
  <c r="C4" i="5"/>
  <c r="C3" i="5"/>
  <c r="B2" i="5"/>
  <c r="B17" i="5" s="1"/>
  <c r="B13" i="5"/>
  <c r="B12" i="5"/>
  <c r="B11" i="5"/>
  <c r="B10" i="5"/>
  <c r="B9" i="5"/>
  <c r="B8" i="5"/>
  <c r="B7" i="5"/>
  <c r="B6" i="5"/>
  <c r="B5" i="5"/>
  <c r="B4" i="5"/>
  <c r="B3" i="5"/>
  <c r="D5" i="4"/>
  <c r="D6" i="4"/>
  <c r="D7" i="4"/>
  <c r="D8" i="4"/>
  <c r="D9" i="4"/>
  <c r="D10" i="4"/>
  <c r="D11" i="4"/>
  <c r="D12" i="4"/>
  <c r="I7" i="7" l="1"/>
  <c r="B18" i="5"/>
  <c r="D24" i="5"/>
  <c r="C22" i="5"/>
  <c r="D28" i="5"/>
  <c r="B19" i="5"/>
  <c r="C23" i="5"/>
  <c r="B27" i="5"/>
  <c r="C24" i="5"/>
  <c r="C26" i="5"/>
  <c r="B24" i="5"/>
  <c r="C20" i="5"/>
  <c r="B25" i="5"/>
  <c r="B22" i="5"/>
  <c r="D21" i="5"/>
  <c r="B23" i="5"/>
  <c r="C19" i="5"/>
  <c r="D22" i="5"/>
  <c r="C27" i="5"/>
  <c r="D27" i="5"/>
  <c r="C28" i="5"/>
  <c r="B26" i="5"/>
  <c r="D18" i="5"/>
  <c r="D25" i="5"/>
  <c r="B28" i="5"/>
  <c r="D19" i="5"/>
  <c r="C21" i="5"/>
  <c r="B20" i="5"/>
  <c r="D20" i="5"/>
  <c r="B21" i="5"/>
  <c r="C18" i="5"/>
  <c r="C25" i="5"/>
  <c r="D17" i="5"/>
  <c r="D26" i="5"/>
  <c r="D23" i="5"/>
  <c r="C7" i="4"/>
  <c r="C8" i="4"/>
  <c r="C9" i="4"/>
  <c r="C10" i="4"/>
  <c r="C11" i="4"/>
  <c r="C12" i="4"/>
  <c r="C6" i="4"/>
  <c r="Y264" i="2" l="1"/>
  <c r="Z264" i="2"/>
  <c r="AA264" i="2"/>
  <c r="AB264" i="2"/>
  <c r="AC264" i="2"/>
  <c r="AD264" i="2"/>
  <c r="Y265" i="2"/>
  <c r="Z265" i="2"/>
  <c r="AA265" i="2"/>
  <c r="AB265" i="2"/>
  <c r="AC265" i="2"/>
  <c r="AD265" i="2"/>
  <c r="Z263" i="2"/>
  <c r="AA263" i="2"/>
  <c r="AB263" i="2"/>
  <c r="AC263" i="2"/>
  <c r="AD263" i="2"/>
  <c r="Y263" i="2"/>
  <c r="Y261" i="2"/>
  <c r="Z261" i="2"/>
  <c r="AA261" i="2"/>
  <c r="AB261" i="2"/>
  <c r="AC261" i="2"/>
  <c r="AD261" i="2"/>
  <c r="Y262" i="2"/>
  <c r="Z262" i="2"/>
  <c r="AA262" i="2"/>
  <c r="AB262" i="2"/>
  <c r="AC262" i="2"/>
  <c r="AD262" i="2"/>
  <c r="Y260" i="2"/>
  <c r="AD260" i="2"/>
  <c r="AC260" i="2"/>
  <c r="AB260" i="2"/>
  <c r="AA260" i="2"/>
  <c r="Z260" i="2"/>
  <c r="W264" i="2"/>
  <c r="W265" i="2"/>
  <c r="W263" i="2"/>
  <c r="W261" i="2"/>
  <c r="W262" i="2"/>
  <c r="W260" i="2"/>
  <c r="U265" i="2"/>
  <c r="U264" i="2"/>
  <c r="Q264" i="2"/>
  <c r="R264" i="2"/>
  <c r="S264" i="2"/>
  <c r="T264" i="2"/>
  <c r="Q265" i="2"/>
  <c r="R265" i="2"/>
  <c r="S265" i="2"/>
  <c r="T265" i="2"/>
  <c r="R263" i="2"/>
  <c r="S263" i="2"/>
  <c r="T263" i="2"/>
  <c r="Q263" i="2"/>
  <c r="Q261" i="2"/>
  <c r="R261" i="2"/>
  <c r="S261" i="2"/>
  <c r="T261" i="2"/>
  <c r="Q262" i="2"/>
  <c r="R262" i="2"/>
  <c r="S262" i="2"/>
  <c r="T262" i="2"/>
  <c r="R260" i="2"/>
  <c r="S260" i="2"/>
  <c r="T260" i="2"/>
  <c r="Q260" i="2"/>
  <c r="O264" i="2"/>
  <c r="O265" i="2"/>
  <c r="O263" i="2"/>
  <c r="O261" i="2"/>
  <c r="O262" i="2"/>
  <c r="O260" i="2"/>
  <c r="E260" i="2"/>
  <c r="E264" i="2"/>
  <c r="E265" i="2"/>
  <c r="E263" i="2"/>
  <c r="E261" i="2"/>
  <c r="E262" i="2"/>
  <c r="F264" i="2"/>
  <c r="G264" i="2"/>
  <c r="H264" i="2"/>
  <c r="I264" i="2"/>
  <c r="J264" i="2"/>
  <c r="K264" i="2"/>
  <c r="L264" i="2"/>
  <c r="M264" i="2"/>
  <c r="N264" i="2"/>
  <c r="F265" i="2"/>
  <c r="G265" i="2"/>
  <c r="H265" i="2"/>
  <c r="I265" i="2"/>
  <c r="J265" i="2"/>
  <c r="K265" i="2"/>
  <c r="L265" i="2"/>
  <c r="M265" i="2"/>
  <c r="N265" i="2"/>
  <c r="P264" i="2"/>
  <c r="P265" i="2"/>
  <c r="V264" i="2"/>
  <c r="V265" i="2"/>
  <c r="X264" i="2"/>
  <c r="X265" i="2"/>
  <c r="X263" i="2"/>
  <c r="V263" i="2"/>
  <c r="P263" i="2"/>
  <c r="M263" i="2"/>
  <c r="N263" i="2"/>
  <c r="J263" i="2"/>
  <c r="K263" i="2"/>
  <c r="L263" i="2"/>
  <c r="F263" i="2"/>
  <c r="G263" i="2"/>
  <c r="H263" i="2"/>
  <c r="I263" i="2"/>
  <c r="D264" i="2"/>
  <c r="D265" i="2"/>
  <c r="D263" i="2"/>
  <c r="H11" i="3"/>
  <c r="H21" i="3" s="1"/>
  <c r="G3" i="3"/>
  <c r="B28" i="3"/>
  <c r="C28" i="3"/>
  <c r="D28" i="3"/>
  <c r="H28" i="3" l="1"/>
  <c r="G8" i="3" s="1"/>
  <c r="H20" i="3"/>
  <c r="H13" i="3"/>
  <c r="H29" i="3"/>
  <c r="H27" i="3"/>
  <c r="G7" i="3" s="1"/>
  <c r="H34" i="3"/>
  <c r="H16" i="3"/>
  <c r="H12" i="3"/>
  <c r="H19" i="3"/>
  <c r="H26" i="3"/>
  <c r="H18" i="3"/>
  <c r="H33" i="3"/>
  <c r="H25" i="3"/>
  <c r="H17" i="3"/>
  <c r="H32" i="3"/>
  <c r="H24" i="3"/>
  <c r="H31" i="3"/>
  <c r="H23" i="3"/>
  <c r="H15" i="3"/>
  <c r="H30" i="3"/>
  <c r="H22" i="3"/>
  <c r="H14" i="3"/>
  <c r="G5" i="3"/>
  <c r="G6" i="3" l="1"/>
  <c r="G4" i="3"/>
  <c r="G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Gnana Stony</author>
  </authors>
  <commentList>
    <comment ref="F3" authorId="0" shapeId="0" xr:uid="{E7A6D536-B7A6-44D7-800A-D79C382B9BD9}">
      <text>
        <r>
          <rPr>
            <b/>
            <sz val="9"/>
            <color indexed="81"/>
            <rFont val="Tahoma"/>
            <family val="2"/>
          </rPr>
          <t>Gnana Stony:</t>
        </r>
        <r>
          <rPr>
            <sz val="9"/>
            <color indexed="81"/>
            <rFont val="Tahoma"/>
            <family val="2"/>
          </rPr>
          <t xml:space="preserve">
Housing, Household Goods and Services, Clothing and Footwear, Pan, Tobacco and Intoxicants, Health, Personal Care and Effects, Recreation and Amusement</t>
        </r>
      </text>
    </comment>
    <comment ref="H7" authorId="0" shapeId="0" xr:uid="{65B5801F-A099-4A88-AF5E-A13344E8A2C0}">
      <text>
        <r>
          <rPr>
            <b/>
            <sz val="9"/>
            <color indexed="81"/>
            <rFont val="Tahoma"/>
            <family val="2"/>
          </rPr>
          <t>Gnana Stony:</t>
        </r>
        <r>
          <rPr>
            <sz val="9"/>
            <color indexed="81"/>
            <rFont val="Tahoma"/>
            <family val="2"/>
          </rPr>
          <t xml:space="preserve">
Housing, Household Goods and Services, Clothing and Footwear, Pan, Tobacco and Intoxicants, Health, Personal Care and Effects, Recreation and Amusement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Gnana Stony</author>
  </authors>
  <commentList>
    <comment ref="F2" authorId="0" shapeId="0" xr:uid="{0BEC3EAE-A5CA-4BF4-8781-1AF940919532}">
      <text>
        <r>
          <rPr>
            <b/>
            <sz val="9"/>
            <color indexed="81"/>
            <rFont val="Tahoma"/>
            <family val="2"/>
          </rPr>
          <t>Gnana Stony:</t>
        </r>
        <r>
          <rPr>
            <sz val="9"/>
            <color indexed="81"/>
            <rFont val="Tahoma"/>
            <family val="2"/>
          </rPr>
          <t xml:space="preserve">
Housing, Household Goods and Services, Clothing and Footwear, Pan, Tobacco and Intoxicants, Health, Personal Care and Effects, Recreation and Amusement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FD2FC-BA60-4825-8F0F-707A2AE85E32}" keepAlive="1" name="Query - All_India_Index_Upto_April23 (1" description="Connection to the 'All_India_Index_Upto_April23 (1' query in the workbook." type="5" refreshedVersion="8" background="1" saveData="1">
    <dbPr connection="Provider=Microsoft.Mashup.OleDb.1;Data Source=$Workbook$;Location=&quot;All_India_Index_Upto_April23 (1&quot;;Extended Properties=&quot;&quot;" command="SELECT * FROM [All_India_Index_Upto_April23 (1]"/>
  </connection>
</connections>
</file>

<file path=xl/sharedStrings.xml><?xml version="1.0" encoding="utf-8"?>
<sst xmlns="http://schemas.openxmlformats.org/spreadsheetml/2006/main" count="2165" uniqueCount="78">
  <si>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</si>
  <si>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</si>
  <si>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</si>
  <si>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</si>
  <si>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</si>
  <si>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</si>
  <si>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</si>
  <si>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</si>
  <si>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</si>
  <si>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</si>
  <si>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</si>
  <si>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</si>
  <si>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</si>
  <si>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</si>
  <si>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</si>
  <si>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</si>
  <si>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</si>
  <si>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</si>
  <si>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</si>
  <si>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</si>
  <si>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</si>
  <si>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</si>
  <si>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</si>
  <si>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</si>
  <si>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</si>
  <si>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</si>
  <si>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</si>
  <si>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</si>
  <si>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</si>
  <si>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</si>
  <si>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</si>
  <si>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</si>
  <si>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</si>
  <si>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</si>
  <si>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</si>
  <si>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</si>
  <si>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</si>
  <si>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</si>
  <si>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</si>
  <si>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</si>
  <si>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</si>
  <si>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</si>
  <si>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</si>
  <si>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</si>
  <si>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</si>
  <si>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</si>
  <si>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</si>
  <si>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</si>
  <si>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Categories</t>
  </si>
  <si>
    <t>Buckets</t>
  </si>
  <si>
    <t>Food and Beverages</t>
  </si>
  <si>
    <t>MONTH : MAY 2023</t>
  </si>
  <si>
    <t>&lt;&lt;&lt;&lt;&lt;     SELECT SECTOR</t>
  </si>
  <si>
    <t>General Index</t>
  </si>
  <si>
    <t>Growth</t>
  </si>
  <si>
    <t>2022 had the highest year-on-year CPI inflation for the Rural+Urban sector in May at 7.04%. The reasons could be:</t>
  </si>
  <si>
    <r>
      <rPr>
        <sz val="10"/>
        <color rgb="FF000000"/>
        <rFont val="Sitka Display Semibold"/>
      </rPr>
      <t>sector</t>
    </r>
    <r>
      <rPr>
        <sz val="10"/>
        <color rgb="FF000000"/>
        <rFont val="Arial"/>
        <scheme val="minor"/>
      </rPr>
      <t>: RURAL+URBAN</t>
    </r>
  </si>
  <si>
    <t>Highest</t>
  </si>
  <si>
    <t>Monthly Inflation Rate</t>
  </si>
  <si>
    <t>Change</t>
  </si>
  <si>
    <t>Biggest Contributor</t>
  </si>
  <si>
    <t>To investigate how the onset and progression of Covid-19 pandemic affected inflation rates in India</t>
  </si>
  <si>
    <t>Before Covid</t>
  </si>
  <si>
    <t>Lock Down</t>
  </si>
  <si>
    <t>Post-Covid LockDown</t>
  </si>
  <si>
    <r>
      <rPr>
        <b/>
        <sz val="10"/>
        <color rgb="FF000000"/>
        <rFont val="Aptos Display"/>
        <family val="2"/>
      </rPr>
      <t>SECTOR :</t>
    </r>
    <r>
      <rPr>
        <sz val="10"/>
        <color rgb="FF000000"/>
        <rFont val="Arial"/>
        <scheme val="minor"/>
      </rPr>
      <t xml:space="preserve"> RURAL</t>
    </r>
  </si>
  <si>
    <r>
      <rPr>
        <b/>
        <sz val="10"/>
        <color rgb="FF000000"/>
        <rFont val="Aptos Display"/>
        <family val="2"/>
      </rPr>
      <t>SECTOR :</t>
    </r>
    <r>
      <rPr>
        <sz val="10"/>
        <color rgb="FF000000"/>
        <rFont val="Arial"/>
        <scheme val="minor"/>
      </rPr>
      <t xml:space="preserve"> URBAN</t>
    </r>
  </si>
  <si>
    <r>
      <rPr>
        <b/>
        <sz val="10"/>
        <color rgb="FF000000"/>
        <rFont val="Aptos Display"/>
        <family val="2"/>
      </rPr>
      <t>SECTOR :</t>
    </r>
    <r>
      <rPr>
        <sz val="10"/>
        <color rgb="FF000000"/>
        <rFont val="Arial"/>
        <scheme val="minor"/>
      </rPr>
      <t xml:space="preserve"> RURAL+URBAN</t>
    </r>
  </si>
  <si>
    <t>Month-Year</t>
  </si>
  <si>
    <t>Price</t>
  </si>
  <si>
    <t>Oil Prices</t>
  </si>
  <si>
    <t>To Investigate how major global economic events (like imported crude oil price fluctuations) have influenced India's inflation.</t>
  </si>
  <si>
    <t>Fuel and Light</t>
  </si>
  <si>
    <t>Transport and Communication</t>
  </si>
  <si>
    <t>Others</t>
  </si>
  <si>
    <t>INFLATION</t>
  </si>
  <si>
    <t>Category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</si>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</sst>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000000"/>
      <name val="Arial"/>
      <family val="2"/>
      <scheme val="minor"/>
    </font>
    <font>
      <b/>
      <sz val="10"/>
      <color theme="3" tint="0.249977111117893"/>
      <name val="Arial"/>
      <family val="2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8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2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Sitka Display Semibold"/>
    </font>
    <font>
      <sz val="10"/>
      <color theme="2" tint="-4.9989318521683403E-2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2" tint="-0.14999847407452621"/>
      <name val="Segoe UI Black"/>
      <family val="2"/>
    </font>
    <font>
      <b/>
      <sz val="10"/>
      <color rgb="FF000000"/>
      <name val="Aptos Display"/>
      <family val="2"/>
    </font>
    <font>
      <sz val="11"/>
      <color indexed="8"/>
      <name val="Calibri"/>
      <family val="2"/>
    </font>
    <font>
      <b/>
      <sz val="10"/>
      <color theme="0"/>
      <name val="Arial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-0.249977111117893"/>
        <bgColor theme="9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theme="9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theme="3" tint="4.9989318521683403E-2"/>
      </left>
      <right style="thin">
        <color theme="3" tint="4.9989318521683403E-2"/>
      </right>
      <top style="thin">
        <color theme="3" tint="4.9989318521683403E-2"/>
      </top>
      <bottom style="thin">
        <color theme="3" tint="4.9989318521683403E-2"/>
      </bottom>
      <diagonal/>
    </border>
    <border>
      <left style="thin">
        <color theme="3" tint="4.9989318521683403E-2"/>
      </left>
      <right style="thin">
        <color theme="3" tint="4.9989318521683403E-2"/>
      </right>
      <top/>
      <bottom style="thin">
        <color theme="3" tint="4.9989318521683403E-2"/>
      </bottom>
      <diagonal/>
    </border>
    <border>
      <left style="thin">
        <color theme="3" tint="4.9989318521683403E-2"/>
      </left>
      <right style="thin">
        <color theme="3" tint="4.9989318521683403E-2"/>
      </right>
      <top style="thin">
        <color theme="3" tint="4.9989318521683403E-2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theme="3" tint="4.9989318521683403E-2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3" tint="4.9989318521683403E-2"/>
      </left>
      <right/>
      <top style="thin">
        <color theme="3" tint="4.9989318521683403E-2"/>
      </top>
      <bottom/>
      <diagonal/>
    </border>
    <border>
      <left style="thin">
        <color theme="3" tint="4.9989318521683403E-2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3" tint="4.9989318521683403E-2"/>
      </left>
      <right/>
      <top style="thin">
        <color theme="3" tint="4.9989318521683403E-2"/>
      </top>
      <bottom style="thin">
        <color theme="3" tint="4.9989318521683403E-2"/>
      </bottom>
      <diagonal/>
    </border>
    <border>
      <left style="thin">
        <color theme="3" tint="4.9989318521683403E-2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0" fontId="3" fillId="6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7" borderId="1" xfId="0" applyFont="1" applyFill="1" applyBorder="1"/>
    <xf numFmtId="0" fontId="3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3" fillId="6" borderId="3" xfId="0" applyFont="1" applyFill="1" applyBorder="1"/>
    <xf numFmtId="0" fontId="5" fillId="2" borderId="3" xfId="0" applyFont="1" applyFill="1" applyBorder="1"/>
    <xf numFmtId="0" fontId="5" fillId="7" borderId="3" xfId="0" applyFont="1" applyFill="1" applyBorder="1"/>
    <xf numFmtId="0" fontId="3" fillId="6" borderId="8" xfId="0" applyFont="1" applyFill="1" applyBorder="1"/>
    <xf numFmtId="10" fontId="5" fillId="9" borderId="9" xfId="1" applyNumberFormat="1" applyFont="1" applyFill="1" applyBorder="1"/>
    <xf numFmtId="10" fontId="5" fillId="0" borderId="9" xfId="1" applyNumberFormat="1" applyFont="1" applyBorder="1"/>
    <xf numFmtId="0" fontId="3" fillId="6" borderId="10" xfId="0" applyFont="1" applyFill="1" applyBorder="1"/>
    <xf numFmtId="10" fontId="5" fillId="0" borderId="11" xfId="1" applyNumberFormat="1" applyFont="1" applyBorder="1"/>
    <xf numFmtId="0" fontId="8" fillId="0" borderId="0" xfId="0" applyFont="1"/>
    <xf numFmtId="0" fontId="0" fillId="12" borderId="13" xfId="0" applyFill="1" applyBorder="1"/>
    <xf numFmtId="0" fontId="0" fillId="11" borderId="0" xfId="0" applyFill="1"/>
    <xf numFmtId="0" fontId="0" fillId="11" borderId="0" xfId="0" applyFill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8" fillId="13" borderId="14" xfId="0" applyFont="1" applyFill="1" applyBorder="1" applyAlignment="1">
      <alignment horizontal="left" vertical="center"/>
    </xf>
    <xf numFmtId="0" fontId="1" fillId="0" borderId="15" xfId="0" applyFont="1" applyBorder="1"/>
    <xf numFmtId="164" fontId="0" fillId="0" borderId="0" xfId="0" applyNumberFormat="1"/>
    <xf numFmtId="10" fontId="0" fillId="0" borderId="0" xfId="1" applyNumberFormat="1" applyFont="1"/>
    <xf numFmtId="0" fontId="8" fillId="1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10" fillId="11" borderId="0" xfId="1" applyNumberFormat="1" applyFont="1" applyFill="1"/>
    <xf numFmtId="0" fontId="8" fillId="15" borderId="0" xfId="0" applyFont="1" applyFill="1" applyAlignment="1">
      <alignment horizontal="center" vertical="center"/>
    </xf>
    <xf numFmtId="0" fontId="8" fillId="15" borderId="0" xfId="0" applyFont="1" applyFill="1"/>
    <xf numFmtId="10" fontId="8" fillId="15" borderId="0" xfId="1" applyNumberFormat="1" applyFont="1" applyFill="1"/>
    <xf numFmtId="0" fontId="6" fillId="8" borderId="16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6" fillId="8" borderId="27" xfId="0" applyFont="1" applyFill="1" applyBorder="1" applyAlignment="1">
      <alignment horizontal="center"/>
    </xf>
    <xf numFmtId="17" fontId="5" fillId="9" borderId="16" xfId="0" applyNumberFormat="1" applyFont="1" applyFill="1" applyBorder="1"/>
    <xf numFmtId="17" fontId="5" fillId="0" borderId="16" xfId="0" applyNumberFormat="1" applyFont="1" applyBorder="1"/>
    <xf numFmtId="0" fontId="0" fillId="0" borderId="0" xfId="0" applyAlignment="1">
      <alignment horizontal="center"/>
    </xf>
    <xf numFmtId="17" fontId="0" fillId="0" borderId="0" xfId="0" applyNumberFormat="1"/>
    <xf numFmtId="0" fontId="5" fillId="0" borderId="19" xfId="0" applyFont="1" applyBorder="1"/>
    <xf numFmtId="0" fontId="6" fillId="16" borderId="19" xfId="0" applyFont="1" applyFill="1" applyBorder="1"/>
    <xf numFmtId="0" fontId="5" fillId="18" borderId="19" xfId="0" applyFont="1" applyFill="1" applyBorder="1"/>
    <xf numFmtId="0" fontId="12" fillId="12" borderId="0" xfId="0" applyFont="1" applyFill="1"/>
    <xf numFmtId="0" fontId="5" fillId="17" borderId="33" xfId="0" applyFont="1" applyFill="1" applyBorder="1"/>
    <xf numFmtId="0" fontId="0" fillId="0" borderId="23" xfId="0" applyBorder="1"/>
    <xf numFmtId="17" fontId="12" fillId="12" borderId="31" xfId="0" applyNumberFormat="1" applyFont="1" applyFill="1" applyBorder="1" applyAlignment="1">
      <alignment horizontal="center"/>
    </xf>
    <xf numFmtId="17" fontId="12" fillId="12" borderId="0" xfId="0" applyNumberFormat="1" applyFont="1" applyFill="1" applyAlignment="1">
      <alignment horizontal="center"/>
    </xf>
    <xf numFmtId="0" fontId="12" fillId="12" borderId="32" xfId="0" applyFont="1" applyFill="1" applyBorder="1" applyAlignment="1">
      <alignment horizontal="center"/>
    </xf>
    <xf numFmtId="0" fontId="6" fillId="19" borderId="0" xfId="0" applyFont="1" applyFill="1"/>
    <xf numFmtId="0" fontId="5" fillId="18" borderId="18" xfId="0" applyFont="1" applyFill="1" applyBorder="1"/>
    <xf numFmtId="0" fontId="0" fillId="0" borderId="35" xfId="0" applyBorder="1"/>
    <xf numFmtId="0" fontId="5" fillId="17" borderId="34" xfId="0" applyFont="1" applyFill="1" applyBorder="1"/>
    <xf numFmtId="0" fontId="5" fillId="0" borderId="18" xfId="0" applyFont="1" applyBorder="1"/>
    <xf numFmtId="0" fontId="5" fillId="20" borderId="33" xfId="0" applyFont="1" applyFill="1" applyBorder="1"/>
    <xf numFmtId="0" fontId="5" fillId="20" borderId="34" xfId="0" applyFont="1" applyFill="1" applyBorder="1"/>
    <xf numFmtId="10" fontId="0" fillId="21" borderId="0" xfId="1" applyNumberFormat="1" applyFont="1" applyFill="1"/>
    <xf numFmtId="10" fontId="0" fillId="11" borderId="0" xfId="1" applyNumberFormat="1" applyFont="1" applyFill="1"/>
    <xf numFmtId="0" fontId="1" fillId="17" borderId="19" xfId="0" applyFont="1" applyFill="1" applyBorder="1"/>
    <xf numFmtId="0" fontId="1" fillId="20" borderId="19" xfId="0" applyFont="1" applyFill="1" applyBorder="1"/>
    <xf numFmtId="164" fontId="1" fillId="17" borderId="19" xfId="0" applyNumberFormat="1" applyFont="1" applyFill="1" applyBorder="1"/>
    <xf numFmtId="164" fontId="1" fillId="20" borderId="19" xfId="0" applyNumberFormat="1" applyFont="1" applyFill="1" applyBorder="1"/>
    <xf numFmtId="0" fontId="13" fillId="0" borderId="23" xfId="0" applyFont="1" applyBorder="1"/>
    <xf numFmtId="17" fontId="14" fillId="0" borderId="0" xfId="0" applyNumberFormat="1" applyFont="1"/>
    <xf numFmtId="0" fontId="13" fillId="0" borderId="0" xfId="0" applyFont="1"/>
    <xf numFmtId="0" fontId="1" fillId="25" borderId="33" xfId="0" applyFont="1" applyFill="1" applyBorder="1"/>
    <xf numFmtId="0" fontId="1" fillId="23" borderId="39" xfId="0" applyFont="1" applyFill="1" applyBorder="1"/>
    <xf numFmtId="0" fontId="1" fillId="26" borderId="33" xfId="0" applyFont="1" applyFill="1" applyBorder="1"/>
    <xf numFmtId="0" fontId="1" fillId="24" borderId="39" xfId="0" applyFont="1" applyFill="1" applyBorder="1"/>
    <xf numFmtId="0" fontId="0" fillId="26" borderId="31" xfId="0" applyFill="1" applyBorder="1"/>
    <xf numFmtId="0" fontId="0" fillId="17" borderId="0" xfId="0" applyFill="1"/>
    <xf numFmtId="0" fontId="0" fillId="24" borderId="32" xfId="0" applyFill="1" applyBorder="1"/>
    <xf numFmtId="0" fontId="1" fillId="26" borderId="40" xfId="0" applyFont="1" applyFill="1" applyBorder="1"/>
    <xf numFmtId="0" fontId="1" fillId="20" borderId="41" xfId="0" applyFont="1" applyFill="1" applyBorder="1"/>
    <xf numFmtId="0" fontId="1" fillId="24" borderId="42" xfId="0" applyFont="1" applyFill="1" applyBorder="1"/>
    <xf numFmtId="0" fontId="0" fillId="17" borderId="37" xfId="0" applyFill="1" applyBorder="1"/>
    <xf numFmtId="0" fontId="0" fillId="24" borderId="38" xfId="0" applyFill="1" applyBorder="1"/>
    <xf numFmtId="0" fontId="1" fillId="17" borderId="41" xfId="0" applyFont="1" applyFill="1" applyBorder="1"/>
    <xf numFmtId="164" fontId="1" fillId="26" borderId="33" xfId="0" applyNumberFormat="1" applyFont="1" applyFill="1" applyBorder="1"/>
    <xf numFmtId="164" fontId="1" fillId="24" borderId="39" xfId="0" applyNumberFormat="1" applyFont="1" applyFill="1" applyBorder="1"/>
    <xf numFmtId="164" fontId="1" fillId="25" borderId="33" xfId="0" applyNumberFormat="1" applyFont="1" applyFill="1" applyBorder="1"/>
    <xf numFmtId="164" fontId="1" fillId="23" borderId="39" xfId="0" applyNumberFormat="1" applyFont="1" applyFill="1" applyBorder="1"/>
    <xf numFmtId="0" fontId="0" fillId="26" borderId="31" xfId="0" applyFill="1" applyBorder="1" applyAlignment="1">
      <alignment horizontal="right"/>
    </xf>
    <xf numFmtId="0" fontId="0" fillId="26" borderId="36" xfId="0" applyFill="1" applyBorder="1" applyAlignment="1">
      <alignment horizontal="right"/>
    </xf>
    <xf numFmtId="0" fontId="0" fillId="0" borderId="0" xfId="0" applyAlignment="1">
      <alignment horizontal="right"/>
    </xf>
    <xf numFmtId="17" fontId="14" fillId="0" borderId="23" xfId="0" applyNumberFormat="1" applyFont="1" applyBorder="1"/>
    <xf numFmtId="10" fontId="0" fillId="0" borderId="28" xfId="1" applyNumberFormat="1" applyFont="1" applyBorder="1"/>
    <xf numFmtId="0" fontId="0" fillId="0" borderId="29" xfId="0" applyBorder="1" applyAlignment="1">
      <alignment horizontal="right"/>
    </xf>
    <xf numFmtId="10" fontId="0" fillId="0" borderId="29" xfId="1" applyNumberFormat="1" applyFont="1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10" fontId="0" fillId="0" borderId="0" xfId="1" applyNumberFormat="1" applyFont="1" applyBorder="1"/>
    <xf numFmtId="10" fontId="0" fillId="0" borderId="32" xfId="1" applyNumberFormat="1" applyFont="1" applyBorder="1"/>
    <xf numFmtId="10" fontId="0" fillId="0" borderId="36" xfId="1" applyNumberFormat="1" applyFont="1" applyBorder="1"/>
    <xf numFmtId="0" fontId="0" fillId="0" borderId="37" xfId="0" applyBorder="1" applyAlignment="1">
      <alignment horizontal="right"/>
    </xf>
    <xf numFmtId="10" fontId="0" fillId="0" borderId="37" xfId="1" applyNumberFormat="1" applyFont="1" applyBorder="1"/>
    <xf numFmtId="10" fontId="0" fillId="0" borderId="38" xfId="1" applyNumberFormat="1" applyFont="1" applyBorder="1"/>
    <xf numFmtId="0" fontId="6" fillId="22" borderId="24" xfId="0" applyFont="1" applyFill="1" applyBorder="1" applyAlignment="1">
      <alignment horizontal="center" vertical="center" wrapText="1"/>
    </xf>
    <xf numFmtId="0" fontId="6" fillId="22" borderId="23" xfId="0" applyFont="1" applyFill="1" applyBorder="1" applyAlignment="1">
      <alignment horizontal="center" vertical="center" wrapText="1"/>
    </xf>
    <xf numFmtId="10" fontId="0" fillId="0" borderId="28" xfId="1" applyNumberFormat="1" applyFont="1" applyFill="1" applyBorder="1"/>
    <xf numFmtId="0" fontId="17" fillId="0" borderId="0" xfId="0" applyFont="1"/>
    <xf numFmtId="17" fontId="17" fillId="0" borderId="0" xfId="0" applyNumberFormat="1" applyFont="1"/>
    <xf numFmtId="164" fontId="17" fillId="0" borderId="0" xfId="0" applyNumberFormat="1" applyFont="1"/>
    <xf numFmtId="0" fontId="9" fillId="12" borderId="0" xfId="0" applyFont="1" applyFill="1"/>
    <xf numFmtId="17" fontId="17" fillId="9" borderId="16" xfId="0" applyNumberFormat="1" applyFont="1" applyFill="1" applyBorder="1"/>
    <xf numFmtId="17" fontId="17" fillId="0" borderId="16" xfId="0" applyNumberFormat="1" applyFont="1" applyBorder="1"/>
    <xf numFmtId="0" fontId="18" fillId="8" borderId="27" xfId="0" applyFont="1" applyFill="1" applyBorder="1" applyAlignment="1">
      <alignment horizontal="center" vertical="center"/>
    </xf>
    <xf numFmtId="0" fontId="18" fillId="8" borderId="27" xfId="0" applyFont="1" applyFill="1" applyBorder="1" applyAlignment="1">
      <alignment horizontal="left" vertical="center"/>
    </xf>
    <xf numFmtId="0" fontId="18" fillId="8" borderId="43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0" fillId="29" borderId="0" xfId="0" applyFill="1"/>
    <xf numFmtId="0" fontId="10" fillId="0" borderId="0" xfId="0" applyFont="1"/>
    <xf numFmtId="0" fontId="2" fillId="10" borderId="5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9" fillId="11" borderId="0" xfId="0" applyFont="1" applyFill="1"/>
    <xf numFmtId="0" fontId="10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0" fillId="14" borderId="0" xfId="0" applyFont="1" applyFill="1" applyAlignment="1">
      <alignment horizontal="left" vertical="top" wrapText="1"/>
    </xf>
    <xf numFmtId="0" fontId="0" fillId="14" borderId="0" xfId="0" applyFill="1" applyAlignment="1">
      <alignment horizontal="left" vertical="top" wrapText="1"/>
    </xf>
    <xf numFmtId="0" fontId="12" fillId="12" borderId="28" xfId="0" applyFont="1" applyFill="1" applyBorder="1"/>
    <xf numFmtId="0" fontId="12" fillId="12" borderId="29" xfId="0" applyFont="1" applyFill="1" applyBorder="1"/>
    <xf numFmtId="0" fontId="12" fillId="12" borderId="30" xfId="0" applyFont="1" applyFill="1" applyBorder="1"/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9" fillId="13" borderId="20" xfId="0" applyFont="1" applyFill="1" applyBorder="1" applyAlignment="1">
      <alignment horizontal="center"/>
    </xf>
    <xf numFmtId="0" fontId="9" fillId="13" borderId="21" xfId="0" applyFont="1" applyFill="1" applyBorder="1" applyAlignment="1">
      <alignment horizontal="center"/>
    </xf>
    <xf numFmtId="0" fontId="9" fillId="13" borderId="22" xfId="0" applyFont="1" applyFill="1" applyBorder="1" applyAlignment="1">
      <alignment horizontal="center"/>
    </xf>
    <xf numFmtId="0" fontId="15" fillId="27" borderId="0" xfId="0" applyFont="1" applyFill="1" applyAlignment="1">
      <alignment horizontal="left" textRotation="90" wrapText="1"/>
    </xf>
    <xf numFmtId="0" fontId="15" fillId="28" borderId="0" xfId="0" applyFont="1" applyFill="1" applyAlignment="1">
      <alignment horizontal="left" textRotation="90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2" borderId="2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2" formatCode="m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2" formatCode="mmm/yy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22" formatCode="mmm/yy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numFmt numFmtId="0" formatCode="General"/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5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0.0%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theme="3" tint="4.9989318521683403E-2"/>
        </left>
        <right style="thin">
          <color theme="3" tint="4.9989318521683403E-2"/>
        </right>
        <top style="thin">
          <color theme="3" tint="4.998931852168340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3" tint="4.9989318521683403E-2"/>
        </left>
        <right style="thin">
          <color theme="3" tint="4.9989318521683403E-2"/>
        </right>
        <top style="thin">
          <color theme="3" tint="4.9989318521683403E-2"/>
        </top>
        <bottom style="thin">
          <color theme="3" tint="4.9989318521683403E-2"/>
        </bottom>
        <vertical style="thin">
          <color theme="3" tint="4.9989318521683403E-2"/>
        </vertical>
        <horizontal style="thin">
          <color theme="3" tint="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3" tint="4.9989318521683403E-2"/>
        </left>
        <right style="thin">
          <color theme="3" tint="4.9989318521683403E-2"/>
        </right>
        <top style="thin">
          <color theme="3" tint="4.998931852168340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theme="3" tint="4.9989318521683403E-2"/>
        </left>
        <right style="thin">
          <color theme="3" tint="4.9989318521683403E-2"/>
        </right>
        <top style="thin">
          <color theme="3" tint="4.9989318521683403E-2"/>
        </top>
        <bottom style="thin">
          <color theme="3" tint="4.9989318521683403E-2"/>
        </bottom>
        <vertical style="thin">
          <color theme="3" tint="4.9989318521683403E-2"/>
        </vertical>
        <horizontal style="thin">
          <color theme="3" tint="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theme="3" tint="4.9989318521683403E-2"/>
        </left>
        <right style="thin">
          <color theme="3" tint="4.9989318521683403E-2"/>
        </right>
        <top style="thin">
          <color theme="3" tint="4.998931852168340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3" tint="4.9989318521683403E-2"/>
        </left>
        <right style="thin">
          <color theme="3" tint="4.9989318521683403E-2"/>
        </right>
        <top style="thin">
          <color theme="3" tint="4.9989318521683403E-2"/>
        </top>
        <bottom style="thin">
          <color theme="3" tint="4.9989318521683403E-2"/>
        </bottom>
        <vertical style="thin">
          <color theme="3" tint="4.9989318521683403E-2"/>
        </vertical>
        <horizontal style="thin">
          <color theme="3" tint="4.9989318521683403E-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0.249977111117893"/>
        <name val="Arial"/>
        <family val="2"/>
        <scheme val="minor"/>
      </font>
      <fill>
        <patternFill patternType="solid">
          <fgColor theme="9"/>
          <bgColor theme="9" tint="0.59999389629810485"/>
        </patternFill>
      </fill>
      <border diagonalUp="0" diagonalDown="0" outline="0">
        <left style="thin">
          <color theme="3" tint="4.9989318521683403E-2"/>
        </left>
        <right style="thin">
          <color theme="3" tint="4.9989318521683403E-2"/>
        </right>
        <top style="thin">
          <color theme="3" tint="4.9989318521683403E-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0.249977111117893"/>
        <name val="Arial"/>
        <scheme val="minor"/>
      </font>
      <fill>
        <patternFill patternType="solid">
          <fgColor theme="9"/>
          <bgColor theme="9" tint="0.59999389629810485"/>
        </patternFill>
      </fill>
      <border diagonalUp="0" diagonalDown="0">
        <left style="thin">
          <color theme="3" tint="4.9989318521683403E-2"/>
        </left>
        <right style="thin">
          <color theme="3" tint="4.9989318521683403E-2"/>
        </right>
        <top style="thin">
          <color theme="3" tint="4.9989318521683403E-2"/>
        </top>
        <bottom style="thin">
          <color theme="3" tint="4.9989318521683403E-2"/>
        </bottom>
        <vertical style="thin">
          <color theme="3" tint="4.9989318521683403E-2"/>
        </vertical>
        <horizontal style="thin">
          <color theme="3" tint="4.9989318521683403E-2"/>
        </horizontal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ill>
        <patternFill>
          <bgColor theme="9" tint="0.39997558519241921"/>
        </patternFill>
      </fill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3DBE4F9-CE63-429B-BFCF-982786DECF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855513029911507"/>
          <c:y val="1.6103055497722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277777777777776E-2"/>
          <c:y val="0.21720217264508604"/>
          <c:w val="0.81388888888888888"/>
          <c:h val="0.45009295713035868"/>
        </c:manualLayout>
      </c:layout>
      <c:pie3DChart>
        <c:varyColors val="1"/>
        <c:ser>
          <c:idx val="0"/>
          <c:order val="0"/>
          <c:tx>
            <c:strRef>
              <c:f>'PS1'!$G$3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F64-4571-B840-C6DA9D0CA7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F64-4571-B840-C6DA9D0CA74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F64-4571-B840-C6DA9D0CA74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F64-4571-B840-C6DA9D0CA74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F64-4571-B840-C6DA9D0CA74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F64-4571-B840-C6DA9D0CA7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'PS1'!$F$4:$F$9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Miscellaneous</c:v>
                </c:pt>
              </c:strCache>
            </c:strRef>
          </c:cat>
          <c:val>
            <c:numRef>
              <c:f>'PS1'!$G$4:$G$9</c:f>
              <c:numCache>
                <c:formatCode>0.00%</c:formatCode>
                <c:ptCount val="6"/>
                <c:pt idx="0">
                  <c:v>0.51728497107016091</c:v>
                </c:pt>
                <c:pt idx="1">
                  <c:v>4.8864686147712361E-2</c:v>
                </c:pt>
                <c:pt idx="2">
                  <c:v>8.9220596100549429E-2</c:v>
                </c:pt>
                <c:pt idx="3">
                  <c:v>4.2689745709145722E-2</c:v>
                </c:pt>
                <c:pt idx="4">
                  <c:v>4.4440122526377211E-2</c:v>
                </c:pt>
                <c:pt idx="5">
                  <c:v>0.25749987844605438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4-47DB-96F3-777813EB53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Y-o-Y</a:t>
            </a:r>
            <a:r>
              <a:rPr lang="en-IN" baseline="0"/>
              <a:t>  CPI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'PS2'!$A$6:$A$12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'PS2'!$C$6:$C$12</c:f>
              <c:numCache>
                <c:formatCode>0.00%</c:formatCode>
                <c:ptCount val="7"/>
                <c:pt idx="0">
                  <c:v>2.1772939346812015E-2</c:v>
                </c:pt>
                <c:pt idx="1">
                  <c:v>4.8706240487062402E-2</c:v>
                </c:pt>
                <c:pt idx="2">
                  <c:v>3.0478955007256836E-2</c:v>
                </c:pt>
                <c:pt idx="3">
                  <c:v>6.9014084507042384E-2</c:v>
                </c:pt>
                <c:pt idx="4">
                  <c:v>5.6653491436100101E-2</c:v>
                </c:pt>
                <c:pt idx="5">
                  <c:v>7.0448877805486143E-2</c:v>
                </c:pt>
                <c:pt idx="6">
                  <c:v>4.3098427489807856E-2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8-49FF-9410-C92E4A730532}"/>
            </c:ext>
          </c:extLst>
        </c:ser>
        <c:ser>
          <c:idx val="1"/>
          <c:order val="1"/>
          <c:tx>
            <c:v>Highest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'PS2'!$D$6:$D$12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 formatCode="0.00%">
                  <c:v>7.0448877805486143E-2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48-49FF-9410-C92E4A7305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0749376"/>
        <c:axId val="1780751296"/>
      </c:lineChart>
      <c:catAx>
        <c:axId val="1780749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51296"/>
        <c:crosses val="autoZero"/>
        <c:auto val="1"/>
        <c:lblAlgn val="ctr"/>
        <c:lblOffset val="100"/>
        <c:noMultiLvlLbl val="0"/>
      </c:catAx>
      <c:valAx>
        <c:axId val="1780751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Growth</a:t>
                </a:r>
                <a:r>
                  <a:rPr lang="en-IN" baseline="0"/>
                  <a:t> (%)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74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CPI Trend – Food Basket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'PS3'!$B$1</c:f>
              <c:strCache>
                <c:ptCount val="1"/>
                <c:pt idx="0">
                  <c:v>Rural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'PS3'!$A$2:$A$13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'PS3'!$B$2:$B$13</c:f>
              <c:numCache>
                <c:formatCode>General</c:formatCode>
                <c:ptCount val="12"/>
                <c:pt idx="0">
                  <c:v>172.4</c:v>
                </c:pt>
                <c:pt idx="1">
                  <c:v>172.5</c:v>
                </c:pt>
                <c:pt idx="2">
                  <c:v>173.9</c:v>
                </c:pt>
                <c:pt idx="3">
                  <c:v>175.5</c:v>
                </c:pt>
                <c:pt idx="4">
                  <c:v>177.4</c:v>
                </c:pt>
                <c:pt idx="5">
                  <c:v>176.6</c:v>
                </c:pt>
                <c:pt idx="6">
                  <c:v>174.4</c:v>
                </c:pt>
                <c:pt idx="7">
                  <c:v>175</c:v>
                </c:pt>
                <c:pt idx="8">
                  <c:v>174.8</c:v>
                </c:pt>
                <c:pt idx="9">
                  <c:v>174.8</c:v>
                </c:pt>
                <c:pt idx="10">
                  <c:v>175.5</c:v>
                </c:pt>
                <c:pt idx="11">
                  <c:v>176.8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A-4089-85FB-435873E1FCBE}"/>
            </c:ext>
          </c:extLst>
        </c:ser>
        <c:ser>
          <c:idx val="1"/>
          <c:order val="1"/>
          <c:tx>
            <c:strRef>
              <c:f>'PS3'!$C$1</c:f>
              <c:strCache>
                <c:ptCount val="1"/>
                <c:pt idx="0">
                  <c:v>Urban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'PS3'!$A$2:$A$13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'PS3'!$C$2:$C$13</c:f>
              <c:numCache>
                <c:formatCode>General</c:formatCode>
                <c:ptCount val="12"/>
                <c:pt idx="0">
                  <c:v>179.3</c:v>
                </c:pt>
                <c:pt idx="1">
                  <c:v>179.4</c:v>
                </c:pt>
                <c:pt idx="2">
                  <c:v>180.4</c:v>
                </c:pt>
                <c:pt idx="3">
                  <c:v>181.8</c:v>
                </c:pt>
                <c:pt idx="4">
                  <c:v>183.3</c:v>
                </c:pt>
                <c:pt idx="5">
                  <c:v>181.3</c:v>
                </c:pt>
                <c:pt idx="6">
                  <c:v>178.6</c:v>
                </c:pt>
                <c:pt idx="7">
                  <c:v>179.5</c:v>
                </c:pt>
                <c:pt idx="8">
                  <c:v>180.7</c:v>
                </c:pt>
                <c:pt idx="9">
                  <c:v>180.8</c:v>
                </c:pt>
                <c:pt idx="10">
                  <c:v>182.1</c:v>
                </c:pt>
                <c:pt idx="11">
                  <c:v>183.1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CA-4089-85FB-435873E1FCBE}"/>
            </c:ext>
          </c:extLst>
        </c:ser>
        <c:ser>
          <c:idx val="2"/>
          <c:order val="2"/>
          <c:tx>
            <c:strRef>
              <c:f>'PS3'!$D$1</c:f>
              <c:strCache>
                <c:ptCount val="1"/>
                <c:pt idx="0">
                  <c:v>Rural+Urban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'PS3'!$A$2:$A$13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'PS3'!$D$2:$D$13</c:f>
              <c:numCache>
                <c:formatCode>General</c:formatCode>
                <c:ptCount val="12"/>
                <c:pt idx="0">
                  <c:v>174.9</c:v>
                </c:pt>
                <c:pt idx="1">
                  <c:v>175</c:v>
                </c:pt>
                <c:pt idx="2">
                  <c:v>176.3</c:v>
                </c:pt>
                <c:pt idx="3">
                  <c:v>177.8</c:v>
                </c:pt>
                <c:pt idx="4">
                  <c:v>179.6</c:v>
                </c:pt>
                <c:pt idx="5">
                  <c:v>178.3</c:v>
                </c:pt>
                <c:pt idx="6">
                  <c:v>175.9</c:v>
                </c:pt>
                <c:pt idx="7">
                  <c:v>176.7</c:v>
                </c:pt>
                <c:pt idx="8">
                  <c:v>177</c:v>
                </c:pt>
                <c:pt idx="9">
                  <c:v>177</c:v>
                </c:pt>
                <c:pt idx="10">
                  <c:v>177.9</c:v>
                </c:pt>
                <c:pt idx="11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CA-4089-85FB-435873E1F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929776"/>
        <c:axId val="394926416"/>
      </c:lineChart>
      <c:dateAx>
        <c:axId val="39492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26416"/>
        <c:crosses val="autoZero"/>
        <c:auto val="1"/>
        <c:lblOffset val="100"/>
        <c:baseTimeUnit val="months"/>
      </c:dateAx>
      <c:valAx>
        <c:axId val="3949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2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'PS5'!$I$3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'PS5'!$H$4:$H$7</c:f>
              <c:strCache>
                <c:ptCount val="4"/>
                <c:pt idx="0">
                  <c:v>Food and Beverages</c:v>
                </c:pt>
                <c:pt idx="1">
                  <c:v>Fuel and Light</c:v>
                </c:pt>
                <c:pt idx="2">
                  <c:v>Transport and Communication</c:v>
                </c:pt>
                <c:pt idx="3">
                  <c:v>Others</c:v>
                </c:pt>
              </c:strCache>
            </c:strRef>
          </c:cat>
          <c:val>
            <c:numRef>
              <c:f>'PS5'!$I$4:$I$7</c:f>
              <c:numCache>
                <c:formatCode>General</c:formatCode>
                <c:ptCount val="4"/>
                <c:pt idx="0">
                  <c:v>-4.058632508134501E-3</c:v>
                </c:pt>
                <c:pt idx="1">
                  <c:v>-7.5638542922081317E-2</c:v>
                </c:pt>
                <c:pt idx="2">
                  <c:v>0.15330025551469229</c:v>
                </c:pt>
                <c:pt idx="3">
                  <c:v>-7.4202607899786388E-2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A-4FC4-A44A-8A42D5B93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662671"/>
        <c:axId val="1948663631"/>
      </c:barChart>
      <c:catAx>
        <c:axId val="194866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63631"/>
        <c:crosses val="autoZero"/>
        <c:auto val="1"/>
        <c:lblAlgn val="ctr"/>
        <c:lblOffset val="100"/>
        <c:noMultiLvlLbl val="0"/>
      </c:catAx>
      <c:valAx>
        <c:axId val="194866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6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F$1" fmlaRange="$A$31:$A$33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9526</xdr:rowOff>
    </xdr:from>
    <xdr:to>
      <xdr:col>4</xdr:col>
      <xdr:colOff>590550</xdr:colOff>
      <xdr:row>25</xdr:row>
      <xdr:rowOff>123826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75C536-E66E-45EA-4E47-5EE701D30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38100</xdr:colOff>
          <xdr:row>0</xdr:row>
          <xdr:rowOff>28575</xdr:rowOff>
        </xdr:from>
        <xdr:to>
          <xdr:col>6</xdr:col>
          <xdr:colOff>28575</xdr:colOff>
          <xdr:row>1</xdr:row>
          <xdr:rowOff>9525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1276351</xdr:colOff>
      <xdr:row>17</xdr:row>
      <xdr:rowOff>95251</xdr:rowOff>
    </xdr:from>
    <xdr:to>
      <xdr:col>3</xdr:col>
      <xdr:colOff>514349</xdr:colOff>
      <xdr:row>19</xdr:row>
      <xdr:rowOff>95251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8AF0AB-2F06-55E2-298D-4D76AC85C3BE}"/>
            </a:ext>
          </a:extLst>
        </xdr:cNvPr>
        <xdr:cNvSpPr txBox="1"/>
      </xdr:nvSpPr>
      <xdr:spPr>
        <a:xfrm rot="5400000">
          <a:off x="3019425" y="1266827"/>
          <a:ext cx="323850" cy="3809998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r>
            <a:rPr lang="en-IN" sz="1100">
              <a:solidFill>
                <a:schemeClr val="accent6">
                  <a:lumMod val="50000"/>
                </a:schemeClr>
              </a:solidFill>
            </a:rPr>
            <a:t>----  CONTRIBUTION</a:t>
          </a:r>
          <a:r>
            <a:rPr lang="en-IN" sz="1100" baseline="0">
              <a:solidFill>
                <a:schemeClr val="accent6">
                  <a:lumMod val="50000"/>
                </a:schemeClr>
              </a:solidFill>
            </a:rPr>
            <a:t> BY BROADER CATEGORIES  ---</a:t>
          </a:r>
          <a:endParaRPr lang="en-IN" sz="11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1476374</xdr:colOff>
      <xdr:row>1</xdr:row>
      <xdr:rowOff>104776</xdr:rowOff>
    </xdr:from>
    <xdr:to>
      <xdr:col>1</xdr:col>
      <xdr:colOff>390524</xdr:colOff>
      <xdr:row>3</xdr:row>
      <xdr:rowOff>28576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9929FD-CCD3-F261-8C31-C9B031E0ACA0}"/>
            </a:ext>
          </a:extLst>
        </xdr:cNvPr>
        <xdr:cNvSpPr txBox="1"/>
      </xdr:nvSpPr>
      <xdr:spPr>
        <a:xfrm>
          <a:off x="1476374" y="428626"/>
          <a:ext cx="11906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N" sz="1100" b="1">
              <a:solidFill>
                <a:schemeClr val="bg1"/>
              </a:solidFill>
            </a:rPr>
            <a:t>SECTOR:</a:t>
          </a:r>
        </a:p>
      </xdr:txBody>
    </xdr:sp>
    <xdr:clientData/>
  </xdr:twoCellAnchor>
  <xdr:twoCellAnchor>
    <xdr:from>
      <xdr:col>7</xdr:col>
      <xdr:colOff>104774</xdr:colOff>
      <xdr:row>2</xdr:row>
      <xdr:rowOff>66676</xdr:rowOff>
    </xdr:from>
    <xdr:to>
      <xdr:col>8</xdr:col>
      <xdr:colOff>485774</xdr:colOff>
      <xdr:row>9</xdr:row>
      <xdr:rowOff>38101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225ED5-3F83-F876-2808-B88F1F1A2BCE}"/>
            </a:ext>
          </a:extLst>
        </xdr:cNvPr>
        <xdr:cNvSpPr txBox="1"/>
      </xdr:nvSpPr>
      <xdr:spPr>
        <a:xfrm>
          <a:off x="10544174" y="552451"/>
          <a:ext cx="1419225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Hence, Food</a:t>
          </a:r>
          <a:r>
            <a:rPr lang="en-IN" sz="1100" baseline="0"/>
            <a:t> and Beverages contribute the Highest towards CPI calculation in all the sectors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857251</xdr:colOff>
      <xdr:row>2</xdr:row>
      <xdr:rowOff>19050</xdr:rowOff>
    </xdr:from>
    <xdr:to>
      <xdr:col>17</xdr:col>
      <xdr:colOff>1</xdr:colOff>
      <xdr:row>26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119C97-E7D5-45EF-A35B-3C7DCDA1A493}"/>
            </a:ext>
          </a:extLst>
        </xdr:cNvPr>
        <xdr:cNvSpPr txBox="1"/>
      </xdr:nvSpPr>
      <xdr:spPr>
        <a:xfrm>
          <a:off x="7562851" y="390525"/>
          <a:ext cx="4248150" cy="39052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IN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Russia-Ukraine</a:t>
          </a:r>
          <a:r>
            <a:rPr lang="en-IN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war triggered a surge in crude oil prices, and India, being a large oil importer, felt a direct impact.</a:t>
          </a:r>
        </a:p>
        <a:p>
          <a:endParaRPr lang="en-IN">
            <a:solidFill>
              <a:schemeClr val="bg1"/>
            </a:solidFill>
            <a:effectLst/>
          </a:endParaRPr>
        </a:p>
        <a:p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 Sharp rise in </a:t>
          </a:r>
          <a:r>
            <a:rPr lang="en-IN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edible oil</a:t>
          </a:r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prices due to disrupted imports from Ukraine (sunflower oil) and Indonesia(palm</a:t>
          </a:r>
          <a:r>
            <a:rPr lang="en-IN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oil export ban).</a:t>
          </a:r>
        </a:p>
        <a:p>
          <a:endParaRPr lang="en-IN">
            <a:solidFill>
              <a:schemeClr val="bg1"/>
            </a:solidFill>
            <a:effectLst/>
          </a:endParaRPr>
        </a:p>
        <a:p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 Higher costs for fertilizers and logistics hit crop production and raised food prices.</a:t>
          </a:r>
        </a:p>
        <a:p>
          <a:endParaRPr lang="en-IN">
            <a:solidFill>
              <a:schemeClr val="bg1"/>
            </a:solidFill>
            <a:effectLst/>
          </a:endParaRPr>
        </a:p>
        <a:p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IN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Pandemic aftershocks </a:t>
          </a:r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still disrupted supply chains, especially in rural distribution.</a:t>
          </a:r>
        </a:p>
        <a:p>
          <a:endParaRPr lang="en-IN">
            <a:solidFill>
              <a:schemeClr val="bg1"/>
            </a:solidFill>
            <a:effectLst/>
          </a:endParaRPr>
        </a:p>
        <a:p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 Rising global freight and input costs (e.g., for packaging, manufacturing) added to domestic inflation.</a:t>
          </a:r>
        </a:p>
        <a:p>
          <a:endParaRPr lang="en-IN">
            <a:solidFill>
              <a:schemeClr val="bg1"/>
            </a:solidFill>
            <a:effectLst/>
          </a:endParaRPr>
        </a:p>
        <a:p>
          <a:pPr eaLnBrk="1" fontAlgn="auto" latinLnBrk="0" hangingPunct="1"/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 The Indian </a:t>
          </a:r>
          <a:r>
            <a:rPr lang="en-IN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rupee weakened </a:t>
          </a:r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against the dollar, making imports (oil, fertilizers, pulses) costlier.Imported inflation contributed to rising consumer prices.</a:t>
          </a:r>
          <a:endParaRPr lang="en-IN">
            <a:solidFill>
              <a:schemeClr val="bg1"/>
            </a:solidFill>
            <a:effectLst/>
          </a:endParaRPr>
        </a:p>
        <a:p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</xdr:colOff>
      <xdr:row>0</xdr:row>
      <xdr:rowOff>19050</xdr:rowOff>
    </xdr:from>
    <xdr:to>
      <xdr:col>10</xdr:col>
      <xdr:colOff>838201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CC399-0AC0-258E-DB97-CEE88BE1E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0</xdr:rowOff>
    </xdr:from>
    <xdr:to>
      <xdr:col>12</xdr:col>
      <xdr:colOff>419100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084F5-35C8-75E4-F019-6BEB1CEA9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9526</xdr:colOff>
      <xdr:row>7</xdr:row>
      <xdr:rowOff>38100</xdr:rowOff>
    </xdr:from>
    <xdr:to>
      <xdr:col>10</xdr:col>
      <xdr:colOff>133351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1FE41-B723-B0C4-ECA1-39B371F08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74B5E8-3A89-4BA2-8B23-900F489BE000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077E8-1517-4D18-AC7F-07FCEA03D586}" name="All_India_Index_Upto_April23__1" displayName="All_India_Index_Upto_April23__1" ref="A1:AD373" tableType="queryTable" totalsRowShown="0">
  <autoFilter ref="A1:AD373" xr:uid="{36F077E8-1517-4D18-AC7F-07FCEA03D586}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</autoFilter>
  <tableColumns count="30">
    <tableColumn id="1" xr3:uid="{5983AFE3-3EB8-4CF6-91F0-CB6F56A6B1AC}" uniqueName="1" name="Sector" queryTableFieldId="1" dataDxfId="54"/>
    <tableColumn id="2" xr3:uid="{C1F20EBD-A2C7-490D-8904-579B7725E967}" uniqueName="2" name="Year" queryTableFieldId="2"/>
    <tableColumn id="3" xr3:uid="{65B47A5B-AC78-4299-8184-6B415F157028}" uniqueName="3" name="Month" queryTableFieldId="3" dataDxfId="53"/>
    <tableColumn id="4" xr3:uid="{B41052D8-EDC9-44F5-85FC-4094F8CA6D68}" uniqueName="4" name="Cereals and products" queryTableFieldId="4"/>
    <tableColumn id="5" xr3:uid="{DACDA520-5678-488E-9A2C-F82119022880}" uniqueName="5" name="Meat and fish" queryTableFieldId="5"/>
    <tableColumn id="6" xr3:uid="{081BAA6F-ED96-48F2-9768-4025C3A4922B}" uniqueName="6" name="Egg" queryTableFieldId="6"/>
    <tableColumn id="7" xr3:uid="{E2DEE84C-C17A-418C-AFA1-126B542E8FCF}" uniqueName="7" name="Milk and products" queryTableFieldId="7"/>
    <tableColumn id="8" xr3:uid="{51A504E4-EC6D-49CF-92AB-5273EBCDF230}" uniqueName="8" name="Oils and fats" queryTableFieldId="8"/>
    <tableColumn id="9" xr3:uid="{C00E50BF-5AAC-4882-A41B-5525A288535B}" uniqueName="9" name="Fruits" queryTableFieldId="9"/>
    <tableColumn id="10" xr3:uid="{939E82FB-6BDD-4AA7-BA09-881B9B683BB8}" uniqueName="10" name="Vegetables" queryTableFieldId="10"/>
    <tableColumn id="11" xr3:uid="{71D84116-1604-4649-8A10-A08EDF82C88C}" uniqueName="11" name="Pulses and products" queryTableFieldId="11"/>
    <tableColumn id="12" xr3:uid="{FF201E13-849C-4553-983D-4EACB2AA3DDB}" uniqueName="12" name="Sugar and Confectionery" queryTableFieldId="12"/>
    <tableColumn id="13" xr3:uid="{B9D6B7AE-6425-4869-A2C6-4DE081C26657}" uniqueName="13" name="Spices" queryTableFieldId="13"/>
    <tableColumn id="14" xr3:uid="{99FC3992-B376-4EFA-8E8A-BA5854A344B7}" uniqueName="14" name="Non-alcoholic beverages" queryTableFieldId="14"/>
    <tableColumn id="15" xr3:uid="{C816BB4D-BC56-4867-A7DB-930688E3A16B}" uniqueName="15" name="Prepared meals, snacks, sweets etc." queryTableFieldId="15"/>
    <tableColumn id="16" xr3:uid="{92CDFCDF-87BF-45DC-887C-2009B7003E94}" uniqueName="16" name="Food and beverages" queryTableFieldId="16"/>
    <tableColumn id="17" xr3:uid="{1B10BFA8-535B-4831-B839-E4D1BE721806}" uniqueName="17" name="Pan, tobacco and intoxicants" queryTableFieldId="17"/>
    <tableColumn id="18" xr3:uid="{CD074753-88D3-4504-8FBE-4D439CC5619B}" uniqueName="18" name="Clothing" queryTableFieldId="18"/>
    <tableColumn id="19" xr3:uid="{2AFA4EEB-F0DF-43F7-ADDF-19EE44C0D93D}" uniqueName="19" name="Footwear" queryTableFieldId="19"/>
    <tableColumn id="20" xr3:uid="{143F5298-CB99-45C5-870C-84F1B0649745}" uniqueName="20" name="Clothing and footwear" queryTableFieldId="20"/>
    <tableColumn id="21" xr3:uid="{1402572B-CA98-47FA-B2F7-645482559418}" uniqueName="21" name="Housing" queryTableFieldId="21"/>
    <tableColumn id="22" xr3:uid="{C7719A07-0003-431B-832C-CFBF2F152A8C}" uniqueName="22" name="Fuel and light" queryTableFieldId="22"/>
    <tableColumn id="23" xr3:uid="{9FD7B85B-EFFA-420C-A906-7EBB86EEBFC6}" uniqueName="23" name="Household goods and services" queryTableFieldId="23"/>
    <tableColumn id="24" xr3:uid="{1CEFA4D5-518F-4FAB-9246-A38CA0EA8BF0}" uniqueName="24" name="Health" queryTableFieldId="24"/>
    <tableColumn id="25" xr3:uid="{03977066-DC7C-40A7-A867-3380073440F9}" uniqueName="25" name="Transport and communication" queryTableFieldId="25"/>
    <tableColumn id="26" xr3:uid="{4D9F49EF-0F55-419A-8C5F-F794DB3E0CFC}" uniqueName="26" name="Recreation and amusement" queryTableFieldId="26"/>
    <tableColumn id="27" xr3:uid="{20FB022B-EC60-4F77-A85A-8CCCF5469DFE}" uniqueName="27" name="Education" queryTableFieldId="27"/>
    <tableColumn id="28" xr3:uid="{08D86E1E-D55A-4192-A2C9-8B179F1B88AF}" uniqueName="28" name="Personal care and effects" queryTableFieldId="28"/>
    <tableColumn id="29" xr3:uid="{25031CE1-F268-4737-A3F5-849A7084043D}" uniqueName="29" name="Miscellaneous" queryTableFieldId="29"/>
    <tableColumn id="30" xr3:uid="{B1FB8D12-BBD0-45F2-B8CD-DE0E41F9C6DE}" uniqueName="30" name="General index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6D5627-C560-4C22-BB96-D4D92EE374BE}" name="Table2" displayName="Table2" ref="A4:D28" totalsRowCount="1" headerRowDxfId="52" headerRowBorderDxfId="51" tableBorderDxfId="50" totalsRowBorderDxfId="49">
  <autoFilter ref="A4:D27" xr:uid="{616D5627-C560-4C22-BB96-D4D92EE374BE}"/>
  <tableColumns count="4">
    <tableColumn id="1" xr3:uid="{F744D7A3-BBA1-44C9-A88A-D1C5D9D28055}" name="Sector" dataDxfId="48" totalsRowDxfId="47"/>
    <tableColumn id="2" xr3:uid="{D7D1A31E-2C38-4669-818B-0E55D766FDFC}" name="Rural" totalsRowFunction="custom" dataDxfId="46" totalsRowDxfId="45">
      <totalsRowFormula>SUM(Table2[Rural])</totalsRowFormula>
    </tableColumn>
    <tableColumn id="3" xr3:uid="{CFFFDEC1-37C7-4013-A872-28A7A5490ADB}" name="Urban" totalsRowFunction="custom" dataDxfId="44" totalsRowDxfId="43">
      <totalsRowFormula>SUM(Table2[Urban])</totalsRowFormula>
    </tableColumn>
    <tableColumn id="4" xr3:uid="{2DD91786-7E8E-4B10-8950-097DB6EA3263}" name="Rural+Urban" totalsRowFunction="custom" dataDxfId="42" totalsRowDxfId="41">
      <totalsRowFormula>SUM(Table2[Rural+Urban])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1FCAC7-2DC9-43DF-9615-49EB5C70A1E7}" name="Table3" displayName="Table3" ref="A4:D12" totalsRowShown="0" headerRowDxfId="40">
  <autoFilter ref="A4:D12" xr:uid="{4C1FCAC7-2DC9-43DF-9615-49EB5C70A1E7}"/>
  <tableColumns count="4">
    <tableColumn id="1" xr3:uid="{272C970E-1A30-41E2-8044-B819090ECC0F}" name="Year"/>
    <tableColumn id="2" xr3:uid="{74F60DCC-9568-4060-A147-8AEA000EEEF2}" name="General Index" totalsRowDxfId="39"/>
    <tableColumn id="3" xr3:uid="{2D27653F-4E5C-496B-9265-5BD1DB71DF8E}" name="Growth" dataDxfId="38" totalsRowDxfId="37" dataCellStyle="Percent" totalsRowCellStyle="Percent">
      <calculatedColumnFormula>B5/B4-1</calculatedColumnFormula>
    </tableColumn>
    <tableColumn id="4" xr3:uid="{79F89695-5DD4-4908-94D0-C0E24458EAA2}" name="Highest" dataDxfId="36">
      <calculatedColumnFormula>IF(C5=MAX(C$6:C$12), C5, NA())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F2E4AD-E0F6-468E-A489-D21CEAE496B2}" name="Table4" displayName="Table4" ref="A1:D13" totalsRowShown="0" headerRowDxfId="35" tableBorderDxfId="34">
  <autoFilter ref="A1:D13" xr:uid="{50F2E4AD-E0F6-468E-A489-D21CEAE496B2}"/>
  <tableColumns count="4">
    <tableColumn id="1" xr3:uid="{7C907EA2-9472-4C0E-9E5E-E0D8FD155906}" name="Month" dataDxfId="33"/>
    <tableColumn id="2" xr3:uid="{C49135D8-5C13-4143-BB5A-B7157BB10539}" name="Rural"/>
    <tableColumn id="3" xr3:uid="{04FC0101-41EF-42C4-8CD3-90094CF5EED9}" name="Urban"/>
    <tableColumn id="4" xr3:uid="{3EDAA626-9E4C-40D3-B667-DA13FF4072D0}" name="Rural+Urb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04D533-0AC3-49B0-A4F6-E1BA774D1744}" name="Table5" displayName="Table5" ref="A16:D28" totalsRowShown="0" headerRowDxfId="32" headerRowBorderDxfId="31" tableBorderDxfId="30">
  <autoFilter ref="A16:D28" xr:uid="{4D04D533-0AC3-49B0-A4F6-E1BA774D1744}"/>
  <tableColumns count="4">
    <tableColumn id="1" xr3:uid="{5A56DE84-17F7-4F97-928D-D6A8E4F8F66A}" name="Month" dataDxfId="29"/>
    <tableColumn id="2" xr3:uid="{90ECCF7F-8536-45C4-9432-4815FC53B606}" name="Rural" dataDxfId="28" dataCellStyle="Percent"/>
    <tableColumn id="3" xr3:uid="{D8476848-4409-4EFE-990B-D7A10FB19B8D}" name="Urban" dataDxfId="27" dataCellStyle="Percent"/>
    <tableColumn id="4" xr3:uid="{5AB78ECA-0EA5-41A9-8D90-CF3D7ED4E6B7}" name="Rural+Urban" dataDxfId="26" dataCellStyle="Percent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189887-DF22-48B9-A4DB-429E89DBE7D3}" name="Table6" displayName="Table6" ref="A3:F28" totalsRowShown="0" headerRowDxfId="25" dataDxfId="23" headerRowBorderDxfId="24" tableBorderDxfId="22" dataCellStyle="Percent">
  <autoFilter ref="A3:F28" xr:uid="{25189887-DF22-48B9-A4DB-429E89DBE7D3}"/>
  <tableColumns count="6">
    <tableColumn id="1" xr3:uid="{2EC657CE-F76F-4CAC-A66A-6BAF246170E0}" name="Month-Year" dataDxfId="21"/>
    <tableColumn id="2" xr3:uid="{6BF524BA-DF0C-4494-B69A-DA1699FA6366}" name="Price" dataDxfId="20" dataCellStyle="Percent">
      <calculatedColumnFormula>'Imported Oil Prices'!B3/'Imported Oil Prices'!B2-1</calculatedColumnFormula>
    </tableColumn>
    <tableColumn id="3" xr3:uid="{698B6798-028F-4BDF-89D7-338291673761}" name="Food and Beverages" dataDxfId="19" dataCellStyle="Percent">
      <calculatedColumnFormula>'Imported Oil Prices'!C3/'Imported Oil Prices'!C2-1</calculatedColumnFormula>
    </tableColumn>
    <tableColumn id="4" xr3:uid="{C153F73C-8E3B-416C-948F-EE82236ADE5B}" name="Fuel and Light" dataDxfId="18" dataCellStyle="Percent">
      <calculatedColumnFormula>'Imported Oil Prices'!D3/'Imported Oil Prices'!D2-1</calculatedColumnFormula>
    </tableColumn>
    <tableColumn id="5" xr3:uid="{E02ECAC4-0C4B-45B3-9C83-D0CFE110B807}" name="Transport and Communication" dataDxfId="17" dataCellStyle="Percent">
      <calculatedColumnFormula>'Imported Oil Prices'!E3/'Imported Oil Prices'!E2-1</calculatedColumnFormula>
    </tableColumn>
    <tableColumn id="6" xr3:uid="{D8B23B28-A0E7-487E-8F6C-49258DAE1A7D}" name="Others" dataDxfId="16" dataCellStyle="Percent">
      <calculatedColumnFormula>'Imported Oil Prices'!F3/'Imported Oil Prices'!F2-1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BF2F3D-E948-4083-9C8D-12EBEDDAB9F4}" name="Table8" displayName="Table8" ref="H3:I7" totalsRowShown="0" headerRowDxfId="15">
  <autoFilter ref="H3:I7" xr:uid="{FFBF2F3D-E948-4083-9C8D-12EBEDDAB9F4}"/>
  <tableColumns count="2">
    <tableColumn id="1" xr3:uid="{B6EF5180-8486-4240-B73F-F9C0C843FA65}" name="Category" dataDxfId="14"/>
    <tableColumn id="2" xr3:uid="{5DEC59F6-5B02-409F-B153-F88692B8EDA6}" name="Correlation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E12AC-DC24-43F2-AF9F-97261466AA98}" name="Table578" displayName="Table578" ref="A2:F27" totalsRowShown="0" dataDxfId="12">
  <autoFilter ref="A2:F27" xr:uid="{330E12AC-DC24-43F2-AF9F-97261466AA98}"/>
  <tableColumns count="6">
    <tableColumn id="1" xr3:uid="{517A362F-AC82-470C-A19F-312B61DEC905}" name="Month-Year" dataDxfId="11"/>
    <tableColumn id="2" xr3:uid="{9D5BA3FC-14D7-43C8-B2E1-47ACB22E3217}" name="Price" dataDxfId="10"/>
    <tableColumn id="3" xr3:uid="{28DBA0DC-D901-4CD2-84E8-10D21D9E55E5}" name="Food and Beverages" dataDxfId="9"/>
    <tableColumn id="4" xr3:uid="{B74DD900-EFCA-4EFB-BF64-47A368ED56C7}" name="Fuel and Light" dataDxfId="8"/>
    <tableColumn id="5" xr3:uid="{198637C7-E207-41CC-9BEA-81294F48ACAA}" name="Transport and Communication" dataDxfId="7"/>
    <tableColumn id="6" xr3:uid="{3F14FA5C-49D2-446F-A538-AE0C769A5A4F}" name="Others" dataDxfId="6">
      <calculatedColumnFormula>AVERAGE(INDIRECT("'Cleaned Data'!T" &amp; (301 + (ROW()-3)*3)),INDIRECT("'Cleaned Data'!U" &amp; (301 + (ROW()-3)*3)),INDIRECT("'Cleaned Data'!W" &amp; (301 + (ROW()-3)*3)),INDIRECT("'Cleaned Data'!X" &amp; (301 + (ROW()-3)*3)),INDIRECT("'Cleaned Data'!Z" &amp; (301 + (ROW()-3)*3)),INDIRECT("'Cleaned Data'!Q" &amp; (301 + (ROW()-3)*3)), INDIRECT("'Cleaned Data'!AB"&amp;(301+(ROW()-3)*3))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5" Type="http://schemas.openxmlformats.org/officeDocument/2006/relationships/comments" Target="../comments1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D373"/>
  <sheetViews>
    <sheetView workbookViewId="0">
      <selection activeCell="D5" sqref="D5"/>
    </sheetView>
  </sheetViews>
  <sheetFormatPr defaultColWidth="12.5703125" defaultRowHeight="15.75" customHeight="1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x14ac:dyDescent="0.2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x14ac:dyDescent="0.2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x14ac:dyDescent="0.2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x14ac:dyDescent="0.2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x14ac:dyDescent="0.2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x14ac:dyDescent="0.2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x14ac:dyDescent="0.2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x14ac:dyDescent="0.2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x14ac:dyDescent="0.2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x14ac:dyDescent="0.2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x14ac:dyDescent="0.2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x14ac:dyDescent="0.2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x14ac:dyDescent="0.2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x14ac:dyDescent="0.2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x14ac:dyDescent="0.2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x14ac:dyDescent="0.2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x14ac:dyDescent="0.2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x14ac:dyDescent="0.2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x14ac:dyDescent="0.2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x14ac:dyDescent="0.2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x14ac:dyDescent="0.2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x14ac:dyDescent="0.2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x14ac:dyDescent="0.2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x14ac:dyDescent="0.2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x14ac:dyDescent="0.2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x14ac:dyDescent="0.2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x14ac:dyDescent="0.2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x14ac:dyDescent="0.2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x14ac:dyDescent="0.2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x14ac:dyDescent="0.2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x14ac:dyDescent="0.2">
      <c r="A33" s="1" t="s">
        <v>33</v>
      </c>
      <c r="B33" s="1">
        <v>2013</v>
      </c>
      <c r="C33" s="1" t="s">
        <v>44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x14ac:dyDescent="0.2">
      <c r="A34" s="1" t="s">
        <v>34</v>
      </c>
      <c r="B34" s="1">
        <v>2013</v>
      </c>
      <c r="C34" s="1" t="s">
        <v>44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x14ac:dyDescent="0.2">
      <c r="A35" s="1" t="s">
        <v>30</v>
      </c>
      <c r="B35" s="1">
        <v>2013</v>
      </c>
      <c r="C35" s="1" t="s">
        <v>45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x14ac:dyDescent="0.2">
      <c r="A36" s="1" t="s">
        <v>33</v>
      </c>
      <c r="B36" s="1">
        <v>2013</v>
      </c>
      <c r="C36" s="1" t="s">
        <v>45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x14ac:dyDescent="0.2">
      <c r="A37" s="1" t="s">
        <v>34</v>
      </c>
      <c r="B37" s="1">
        <v>2013</v>
      </c>
      <c r="C37" s="1" t="s">
        <v>45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x14ac:dyDescent="0.2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x14ac:dyDescent="0.2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x14ac:dyDescent="0.2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x14ac:dyDescent="0.2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x14ac:dyDescent="0.2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x14ac:dyDescent="0.2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x14ac:dyDescent="0.2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x14ac:dyDescent="0.2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x14ac:dyDescent="0.2">
      <c r="A46" s="1" t="s">
        <v>34</v>
      </c>
      <c r="B46" s="1">
        <v>2014</v>
      </c>
      <c r="C46" s="1" t="s">
        <v>46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x14ac:dyDescent="0.2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x14ac:dyDescent="0.2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x14ac:dyDescent="0.2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x14ac:dyDescent="0.2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x14ac:dyDescent="0.2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x14ac:dyDescent="0.2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x14ac:dyDescent="0.2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x14ac:dyDescent="0.2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x14ac:dyDescent="0.2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x14ac:dyDescent="0.2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x14ac:dyDescent="0.2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x14ac:dyDescent="0.2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x14ac:dyDescent="0.2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x14ac:dyDescent="0.2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x14ac:dyDescent="0.2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x14ac:dyDescent="0.2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x14ac:dyDescent="0.2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x14ac:dyDescent="0.2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x14ac:dyDescent="0.2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x14ac:dyDescent="0.2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x14ac:dyDescent="0.2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x14ac:dyDescent="0.2">
      <c r="A68" s="1" t="s">
        <v>30</v>
      </c>
      <c r="B68" s="1">
        <v>2014</v>
      </c>
      <c r="C68" s="1" t="s">
        <v>44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x14ac:dyDescent="0.2">
      <c r="A69" s="1" t="s">
        <v>33</v>
      </c>
      <c r="B69" s="1">
        <v>2014</v>
      </c>
      <c r="C69" s="1" t="s">
        <v>44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x14ac:dyDescent="0.2">
      <c r="A70" s="1" t="s">
        <v>34</v>
      </c>
      <c r="B70" s="1">
        <v>2014</v>
      </c>
      <c r="C70" s="1" t="s">
        <v>44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x14ac:dyDescent="0.2">
      <c r="A71" s="1" t="s">
        <v>30</v>
      </c>
      <c r="B71" s="1">
        <v>2014</v>
      </c>
      <c r="C71" s="1" t="s">
        <v>45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x14ac:dyDescent="0.2">
      <c r="A72" s="1" t="s">
        <v>33</v>
      </c>
      <c r="B72" s="1">
        <v>2014</v>
      </c>
      <c r="C72" s="1" t="s">
        <v>45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x14ac:dyDescent="0.2">
      <c r="A73" s="1" t="s">
        <v>34</v>
      </c>
      <c r="B73" s="1">
        <v>2014</v>
      </c>
      <c r="C73" s="1" t="s">
        <v>45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x14ac:dyDescent="0.2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x14ac:dyDescent="0.2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x14ac:dyDescent="0.2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x14ac:dyDescent="0.2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x14ac:dyDescent="0.2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x14ac:dyDescent="0.2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x14ac:dyDescent="0.2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x14ac:dyDescent="0.2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x14ac:dyDescent="0.2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x14ac:dyDescent="0.2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x14ac:dyDescent="0.2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x14ac:dyDescent="0.2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x14ac:dyDescent="0.2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x14ac:dyDescent="0.2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x14ac:dyDescent="0.2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x14ac:dyDescent="0.2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x14ac:dyDescent="0.2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x14ac:dyDescent="0.2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x14ac:dyDescent="0.2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x14ac:dyDescent="0.2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x14ac:dyDescent="0.2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x14ac:dyDescent="0.2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x14ac:dyDescent="0.2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x14ac:dyDescent="0.2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x14ac:dyDescent="0.2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x14ac:dyDescent="0.2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x14ac:dyDescent="0.2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x14ac:dyDescent="0.2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x14ac:dyDescent="0.2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x14ac:dyDescent="0.2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x14ac:dyDescent="0.2">
      <c r="A104" s="1" t="s">
        <v>30</v>
      </c>
      <c r="B104" s="1">
        <v>2015</v>
      </c>
      <c r="C104" s="1" t="s">
        <v>44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x14ac:dyDescent="0.2">
      <c r="A105" s="1" t="s">
        <v>33</v>
      </c>
      <c r="B105" s="1">
        <v>2015</v>
      </c>
      <c r="C105" s="1" t="s">
        <v>44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x14ac:dyDescent="0.2">
      <c r="A106" s="1" t="s">
        <v>34</v>
      </c>
      <c r="B106" s="1">
        <v>2015</v>
      </c>
      <c r="C106" s="1" t="s">
        <v>44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x14ac:dyDescent="0.2">
      <c r="A107" s="1" t="s">
        <v>30</v>
      </c>
      <c r="B107" s="1">
        <v>2015</v>
      </c>
      <c r="C107" s="1" t="s">
        <v>45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x14ac:dyDescent="0.2">
      <c r="A108" s="1" t="s">
        <v>33</v>
      </c>
      <c r="B108" s="1">
        <v>2015</v>
      </c>
      <c r="C108" s="1" t="s">
        <v>45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x14ac:dyDescent="0.2">
      <c r="A109" s="1" t="s">
        <v>34</v>
      </c>
      <c r="B109" s="1">
        <v>2015</v>
      </c>
      <c r="C109" s="1" t="s">
        <v>45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x14ac:dyDescent="0.2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x14ac:dyDescent="0.2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x14ac:dyDescent="0.2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x14ac:dyDescent="0.2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x14ac:dyDescent="0.2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x14ac:dyDescent="0.2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x14ac:dyDescent="0.2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x14ac:dyDescent="0.2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x14ac:dyDescent="0.2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x14ac:dyDescent="0.2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x14ac:dyDescent="0.2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x14ac:dyDescent="0.2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x14ac:dyDescent="0.2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x14ac:dyDescent="0.2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x14ac:dyDescent="0.2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x14ac:dyDescent="0.2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x14ac:dyDescent="0.2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x14ac:dyDescent="0.2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x14ac:dyDescent="0.2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x14ac:dyDescent="0.2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x14ac:dyDescent="0.2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x14ac:dyDescent="0.2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x14ac:dyDescent="0.2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x14ac:dyDescent="0.2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x14ac:dyDescent="0.2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x14ac:dyDescent="0.2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x14ac:dyDescent="0.2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x14ac:dyDescent="0.2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x14ac:dyDescent="0.2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x14ac:dyDescent="0.2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x14ac:dyDescent="0.2">
      <c r="A140" s="1" t="s">
        <v>30</v>
      </c>
      <c r="B140" s="1">
        <v>2016</v>
      </c>
      <c r="C140" s="1" t="s">
        <v>44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x14ac:dyDescent="0.2">
      <c r="A141" s="1" t="s">
        <v>33</v>
      </c>
      <c r="B141" s="1">
        <v>2016</v>
      </c>
      <c r="C141" s="1" t="s">
        <v>44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x14ac:dyDescent="0.2">
      <c r="A142" s="1" t="s">
        <v>34</v>
      </c>
      <c r="B142" s="1">
        <v>2016</v>
      </c>
      <c r="C142" s="1" t="s">
        <v>44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x14ac:dyDescent="0.2">
      <c r="A143" s="1" t="s">
        <v>30</v>
      </c>
      <c r="B143" s="1">
        <v>2016</v>
      </c>
      <c r="C143" s="1" t="s">
        <v>45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x14ac:dyDescent="0.2">
      <c r="A144" s="1" t="s">
        <v>33</v>
      </c>
      <c r="B144" s="1">
        <v>2016</v>
      </c>
      <c r="C144" s="1" t="s">
        <v>45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x14ac:dyDescent="0.2">
      <c r="A145" s="1" t="s">
        <v>34</v>
      </c>
      <c r="B145" s="1">
        <v>2016</v>
      </c>
      <c r="C145" s="1" t="s">
        <v>45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x14ac:dyDescent="0.2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x14ac:dyDescent="0.2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x14ac:dyDescent="0.2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x14ac:dyDescent="0.2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x14ac:dyDescent="0.2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x14ac:dyDescent="0.2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x14ac:dyDescent="0.2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x14ac:dyDescent="0.2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x14ac:dyDescent="0.2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x14ac:dyDescent="0.2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x14ac:dyDescent="0.2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x14ac:dyDescent="0.2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x14ac:dyDescent="0.2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x14ac:dyDescent="0.2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x14ac:dyDescent="0.2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x14ac:dyDescent="0.2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x14ac:dyDescent="0.2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x14ac:dyDescent="0.2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x14ac:dyDescent="0.2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x14ac:dyDescent="0.2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x14ac:dyDescent="0.2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x14ac:dyDescent="0.2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x14ac:dyDescent="0.2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x14ac:dyDescent="0.2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x14ac:dyDescent="0.2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x14ac:dyDescent="0.2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x14ac:dyDescent="0.2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x14ac:dyDescent="0.2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x14ac:dyDescent="0.2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x14ac:dyDescent="0.2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x14ac:dyDescent="0.2">
      <c r="A176" s="1" t="s">
        <v>30</v>
      </c>
      <c r="B176" s="1">
        <v>2017</v>
      </c>
      <c r="C176" s="1" t="s">
        <v>44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x14ac:dyDescent="0.2">
      <c r="A177" s="1" t="s">
        <v>33</v>
      </c>
      <c r="B177" s="1">
        <v>2017</v>
      </c>
      <c r="C177" s="1" t="s">
        <v>44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x14ac:dyDescent="0.2">
      <c r="A178" s="1" t="s">
        <v>34</v>
      </c>
      <c r="B178" s="1">
        <v>2017</v>
      </c>
      <c r="C178" s="1" t="s">
        <v>44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x14ac:dyDescent="0.2">
      <c r="A179" s="1" t="s">
        <v>30</v>
      </c>
      <c r="B179" s="1">
        <v>2017</v>
      </c>
      <c r="C179" s="1" t="s">
        <v>45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x14ac:dyDescent="0.2">
      <c r="A180" s="1" t="s">
        <v>33</v>
      </c>
      <c r="B180" s="1">
        <v>2017</v>
      </c>
      <c r="C180" s="1" t="s">
        <v>45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x14ac:dyDescent="0.2">
      <c r="A181" s="1" t="s">
        <v>34</v>
      </c>
      <c r="B181" s="1">
        <v>2017</v>
      </c>
      <c r="C181" s="1" t="s">
        <v>45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x14ac:dyDescent="0.2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x14ac:dyDescent="0.2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x14ac:dyDescent="0.2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x14ac:dyDescent="0.2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x14ac:dyDescent="0.2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x14ac:dyDescent="0.2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x14ac:dyDescent="0.2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x14ac:dyDescent="0.2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x14ac:dyDescent="0.2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x14ac:dyDescent="0.2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x14ac:dyDescent="0.2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x14ac:dyDescent="0.2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x14ac:dyDescent="0.2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x14ac:dyDescent="0.2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x14ac:dyDescent="0.2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x14ac:dyDescent="0.2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x14ac:dyDescent="0.2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x14ac:dyDescent="0.2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x14ac:dyDescent="0.2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x14ac:dyDescent="0.2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x14ac:dyDescent="0.2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x14ac:dyDescent="0.2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x14ac:dyDescent="0.2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x14ac:dyDescent="0.2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x14ac:dyDescent="0.2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x14ac:dyDescent="0.2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x14ac:dyDescent="0.2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x14ac:dyDescent="0.2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x14ac:dyDescent="0.2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x14ac:dyDescent="0.2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x14ac:dyDescent="0.2">
      <c r="A212" s="1" t="s">
        <v>30</v>
      </c>
      <c r="B212" s="1">
        <v>2018</v>
      </c>
      <c r="C212" s="1" t="s">
        <v>44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x14ac:dyDescent="0.2">
      <c r="A213" s="1" t="s">
        <v>33</v>
      </c>
      <c r="B213" s="1">
        <v>2018</v>
      </c>
      <c r="C213" s="1" t="s">
        <v>44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x14ac:dyDescent="0.2">
      <c r="A214" s="1" t="s">
        <v>34</v>
      </c>
      <c r="B214" s="1">
        <v>2018</v>
      </c>
      <c r="C214" s="1" t="s">
        <v>44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x14ac:dyDescent="0.2">
      <c r="A215" s="1" t="s">
        <v>30</v>
      </c>
      <c r="B215" s="1">
        <v>2018</v>
      </c>
      <c r="C215" s="1" t="s">
        <v>45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x14ac:dyDescent="0.2">
      <c r="A216" s="1" t="s">
        <v>33</v>
      </c>
      <c r="B216" s="1">
        <v>2018</v>
      </c>
      <c r="C216" s="1" t="s">
        <v>45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x14ac:dyDescent="0.2">
      <c r="A217" s="1" t="s">
        <v>34</v>
      </c>
      <c r="B217" s="1">
        <v>2018</v>
      </c>
      <c r="C217" s="1" t="s">
        <v>45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x14ac:dyDescent="0.2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x14ac:dyDescent="0.2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x14ac:dyDescent="0.2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x14ac:dyDescent="0.2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x14ac:dyDescent="0.2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x14ac:dyDescent="0.2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x14ac:dyDescent="0.2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x14ac:dyDescent="0.2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x14ac:dyDescent="0.2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x14ac:dyDescent="0.2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x14ac:dyDescent="0.2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x14ac:dyDescent="0.2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x14ac:dyDescent="0.2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x14ac:dyDescent="0.2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x14ac:dyDescent="0.2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x14ac:dyDescent="0.2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x14ac:dyDescent="0.2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x14ac:dyDescent="0.2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x14ac:dyDescent="0.2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x14ac:dyDescent="0.2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x14ac:dyDescent="0.2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x14ac:dyDescent="0.2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x14ac:dyDescent="0.2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x14ac:dyDescent="0.2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x14ac:dyDescent="0.2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x14ac:dyDescent="0.2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x14ac:dyDescent="0.2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x14ac:dyDescent="0.2">
      <c r="A245" s="1" t="s">
        <v>30</v>
      </c>
      <c r="B245" s="1">
        <v>2019</v>
      </c>
      <c r="C245" s="1" t="s">
        <v>44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x14ac:dyDescent="0.2">
      <c r="A246" s="1" t="s">
        <v>33</v>
      </c>
      <c r="B246" s="1">
        <v>2019</v>
      </c>
      <c r="C246" s="1" t="s">
        <v>44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x14ac:dyDescent="0.2">
      <c r="A247" s="1" t="s">
        <v>34</v>
      </c>
      <c r="B247" s="1">
        <v>2019</v>
      </c>
      <c r="C247" s="1" t="s">
        <v>44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x14ac:dyDescent="0.2">
      <c r="A248" s="1" t="s">
        <v>30</v>
      </c>
      <c r="B248" s="1">
        <v>2019</v>
      </c>
      <c r="C248" s="1" t="s">
        <v>45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x14ac:dyDescent="0.2">
      <c r="A249" s="1" t="s">
        <v>33</v>
      </c>
      <c r="B249" s="1">
        <v>2019</v>
      </c>
      <c r="C249" s="1" t="s">
        <v>45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x14ac:dyDescent="0.2">
      <c r="A250" s="1" t="s">
        <v>34</v>
      </c>
      <c r="B250" s="1">
        <v>2019</v>
      </c>
      <c r="C250" s="1" t="s">
        <v>45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x14ac:dyDescent="0.2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x14ac:dyDescent="0.2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x14ac:dyDescent="0.2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x14ac:dyDescent="0.2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x14ac:dyDescent="0.2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x14ac:dyDescent="0.2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x14ac:dyDescent="0.2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x14ac:dyDescent="0.2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x14ac:dyDescent="0.2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x14ac:dyDescent="0.2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x14ac:dyDescent="0.2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x14ac:dyDescent="0.2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x14ac:dyDescent="0.2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x14ac:dyDescent="0.2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x14ac:dyDescent="0.2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x14ac:dyDescent="0.2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x14ac:dyDescent="0.2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x14ac:dyDescent="0.2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x14ac:dyDescent="0.2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x14ac:dyDescent="0.2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x14ac:dyDescent="0.2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x14ac:dyDescent="0.2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x14ac:dyDescent="0.2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x14ac:dyDescent="0.2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x14ac:dyDescent="0.2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x14ac:dyDescent="0.2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x14ac:dyDescent="0.2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x14ac:dyDescent="0.2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x14ac:dyDescent="0.2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x14ac:dyDescent="0.2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x14ac:dyDescent="0.2">
      <c r="A281" s="1" t="s">
        <v>30</v>
      </c>
      <c r="B281" s="1">
        <v>2020</v>
      </c>
      <c r="C281" s="1" t="s">
        <v>44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x14ac:dyDescent="0.2">
      <c r="A282" s="1" t="s">
        <v>33</v>
      </c>
      <c r="B282" s="1">
        <v>2020</v>
      </c>
      <c r="C282" s="1" t="s">
        <v>44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x14ac:dyDescent="0.2">
      <c r="A283" s="1" t="s">
        <v>34</v>
      </c>
      <c r="B283" s="1">
        <v>2020</v>
      </c>
      <c r="C283" s="1" t="s">
        <v>44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x14ac:dyDescent="0.2">
      <c r="A284" s="1" t="s">
        <v>30</v>
      </c>
      <c r="B284" s="1">
        <v>2020</v>
      </c>
      <c r="C284" s="1" t="s">
        <v>45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x14ac:dyDescent="0.2">
      <c r="A285" s="1" t="s">
        <v>33</v>
      </c>
      <c r="B285" s="1">
        <v>2020</v>
      </c>
      <c r="C285" s="1" t="s">
        <v>45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x14ac:dyDescent="0.2">
      <c r="A286" s="1" t="s">
        <v>34</v>
      </c>
      <c r="B286" s="1">
        <v>2020</v>
      </c>
      <c r="C286" s="1" t="s">
        <v>45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x14ac:dyDescent="0.2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x14ac:dyDescent="0.2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x14ac:dyDescent="0.2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x14ac:dyDescent="0.2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x14ac:dyDescent="0.2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x14ac:dyDescent="0.2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x14ac:dyDescent="0.2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47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x14ac:dyDescent="0.2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x14ac:dyDescent="0.2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x14ac:dyDescent="0.2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47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x14ac:dyDescent="0.2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x14ac:dyDescent="0.2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x14ac:dyDescent="0.2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x14ac:dyDescent="0.2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x14ac:dyDescent="0.2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x14ac:dyDescent="0.2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x14ac:dyDescent="0.2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x14ac:dyDescent="0.2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x14ac:dyDescent="0.2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x14ac:dyDescent="0.2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x14ac:dyDescent="0.2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x14ac:dyDescent="0.2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x14ac:dyDescent="0.2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x14ac:dyDescent="0.2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x14ac:dyDescent="0.2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x14ac:dyDescent="0.2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x14ac:dyDescent="0.2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x14ac:dyDescent="0.2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x14ac:dyDescent="0.2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x14ac:dyDescent="0.2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x14ac:dyDescent="0.2">
      <c r="A317" s="1" t="s">
        <v>30</v>
      </c>
      <c r="B317" s="1">
        <v>2021</v>
      </c>
      <c r="C317" s="1" t="s">
        <v>44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x14ac:dyDescent="0.2">
      <c r="A318" s="1" t="s">
        <v>33</v>
      </c>
      <c r="B318" s="1">
        <v>2021</v>
      </c>
      <c r="C318" s="1" t="s">
        <v>44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x14ac:dyDescent="0.2">
      <c r="A319" s="1" t="s">
        <v>34</v>
      </c>
      <c r="B319" s="1">
        <v>2021</v>
      </c>
      <c r="C319" s="1" t="s">
        <v>44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x14ac:dyDescent="0.2">
      <c r="A320" s="1" t="s">
        <v>30</v>
      </c>
      <c r="B320" s="1">
        <v>2021</v>
      </c>
      <c r="C320" s="1" t="s">
        <v>45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x14ac:dyDescent="0.2">
      <c r="A321" s="1" t="s">
        <v>33</v>
      </c>
      <c r="B321" s="1">
        <v>2021</v>
      </c>
      <c r="C321" s="1" t="s">
        <v>45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x14ac:dyDescent="0.2">
      <c r="A322" s="1" t="s">
        <v>34</v>
      </c>
      <c r="B322" s="1">
        <v>2021</v>
      </c>
      <c r="C322" s="1" t="s">
        <v>45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x14ac:dyDescent="0.2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x14ac:dyDescent="0.2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x14ac:dyDescent="0.2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x14ac:dyDescent="0.2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x14ac:dyDescent="0.2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x14ac:dyDescent="0.2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x14ac:dyDescent="0.2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x14ac:dyDescent="0.2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x14ac:dyDescent="0.2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x14ac:dyDescent="0.2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x14ac:dyDescent="0.2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x14ac:dyDescent="0.2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x14ac:dyDescent="0.2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x14ac:dyDescent="0.2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x14ac:dyDescent="0.2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x14ac:dyDescent="0.2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x14ac:dyDescent="0.2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x14ac:dyDescent="0.2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x14ac:dyDescent="0.2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x14ac:dyDescent="0.2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x14ac:dyDescent="0.2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x14ac:dyDescent="0.2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x14ac:dyDescent="0.2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x14ac:dyDescent="0.2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x14ac:dyDescent="0.2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x14ac:dyDescent="0.2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x14ac:dyDescent="0.2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x14ac:dyDescent="0.2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x14ac:dyDescent="0.2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x14ac:dyDescent="0.2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x14ac:dyDescent="0.2">
      <c r="A353" s="1" t="s">
        <v>30</v>
      </c>
      <c r="B353" s="1">
        <v>2022</v>
      </c>
      <c r="C353" s="1" t="s">
        <v>44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x14ac:dyDescent="0.2">
      <c r="A354" s="1" t="s">
        <v>33</v>
      </c>
      <c r="B354" s="1">
        <v>2022</v>
      </c>
      <c r="C354" s="1" t="s">
        <v>44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x14ac:dyDescent="0.2">
      <c r="A355" s="1" t="s">
        <v>34</v>
      </c>
      <c r="B355" s="1">
        <v>2022</v>
      </c>
      <c r="C355" s="1" t="s">
        <v>44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x14ac:dyDescent="0.2">
      <c r="A356" s="1" t="s">
        <v>30</v>
      </c>
      <c r="B356" s="1">
        <v>2022</v>
      </c>
      <c r="C356" s="1" t="s">
        <v>45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x14ac:dyDescent="0.2">
      <c r="A357" s="1" t="s">
        <v>33</v>
      </c>
      <c r="B357" s="1">
        <v>2022</v>
      </c>
      <c r="C357" s="1" t="s">
        <v>45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x14ac:dyDescent="0.2">
      <c r="A358" s="1" t="s">
        <v>34</v>
      </c>
      <c r="B358" s="1">
        <v>2022</v>
      </c>
      <c r="C358" s="1" t="s">
        <v>45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x14ac:dyDescent="0.2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x14ac:dyDescent="0.2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x14ac:dyDescent="0.2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x14ac:dyDescent="0.2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x14ac:dyDescent="0.2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x14ac:dyDescent="0.2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x14ac:dyDescent="0.2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x14ac:dyDescent="0.2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x14ac:dyDescent="0.2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x14ac:dyDescent="0.2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47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x14ac:dyDescent="0.2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x14ac:dyDescent="0.2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x14ac:dyDescent="0.2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47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x14ac:dyDescent="0.2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x14ac:dyDescent="0.2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0EC2-892F-42E3-A77E-9219016175D0}">
  <sheetPr codeName="Sheet2"/>
  <dimension ref="A1:AD373"/>
  <sheetViews>
    <sheetView zoomScaleNormal="100" workbookViewId="0">
      <pane xSplit="3" ySplit="294" topLeftCell="U295" activePane="bottomRight" state="frozen"/>
      <selection pane="topRight" activeCell="D1" sqref="D1"/>
      <selection pane="bottomLeft" activeCell="A295" sqref="A295"/>
      <selection pane="bottomRight" activeCell="W319" sqref="W319"/>
    </sheetView>
  </sheetViews>
  <sheetFormatPr defaultRowHeight="12.75" x14ac:dyDescent="0.2"/>
  <cols>
    <col min="1" max="1" width="11.28515625" bestFit="1" customWidth="1"/>
    <col min="2" max="2" width="7.42578125" bestFit="1" customWidth="1"/>
    <col min="3" max="3" width="10" bestFit="1" customWidth="1"/>
    <col min="4" max="4" width="22.7109375" bestFit="1" customWidth="1"/>
    <col min="5" max="5" width="15.5703125" bestFit="1" customWidth="1"/>
    <col min="6" max="6" width="6.7109375" bestFit="1" customWidth="1"/>
    <col min="7" max="7" width="19.5703125" bestFit="1" customWidth="1"/>
    <col min="8" max="8" width="14.42578125" bestFit="1" customWidth="1"/>
    <col min="9" max="9" width="8.28515625" bestFit="1" customWidth="1"/>
    <col min="10" max="10" width="13.42578125" bestFit="1" customWidth="1"/>
    <col min="11" max="11" width="21.7109375" bestFit="1" customWidth="1"/>
    <col min="12" max="12" width="26.28515625" bestFit="1" customWidth="1"/>
    <col min="13" max="13" width="9.28515625" bestFit="1" customWidth="1"/>
    <col min="14" max="14" width="26.140625" bestFit="1" customWidth="1"/>
    <col min="15" max="15" width="36.85546875" bestFit="1" customWidth="1"/>
    <col min="16" max="16" width="22.140625" bestFit="1" customWidth="1"/>
    <col min="17" max="17" width="30.140625" bestFit="1" customWidth="1"/>
    <col min="18" max="18" width="10.85546875" bestFit="1" customWidth="1"/>
    <col min="19" max="19" width="11.85546875" bestFit="1" customWidth="1"/>
    <col min="20" max="20" width="23.85546875" bestFit="1" customWidth="1"/>
    <col min="21" max="21" width="10.5703125" bestFit="1" customWidth="1"/>
    <col min="22" max="22" width="16" bestFit="1" customWidth="1"/>
    <col min="23" max="23" width="31.28515625" bestFit="1" customWidth="1"/>
    <col min="25" max="25" width="31" bestFit="1" customWidth="1"/>
    <col min="26" max="26" width="28.85546875" bestFit="1" customWidth="1"/>
    <col min="27" max="27" width="12.28515625" bestFit="1" customWidth="1"/>
    <col min="28" max="28" width="26.7109375" bestFit="1" customWidth="1"/>
    <col min="29" max="29" width="16.28515625" bestFit="1" customWidth="1"/>
    <col min="30" max="30" width="16.425781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2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hidden="1" x14ac:dyDescent="0.2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hidden="1" x14ac:dyDescent="0.2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hidden="1" x14ac:dyDescent="0.2">
      <c r="A5" t="s">
        <v>30</v>
      </c>
      <c r="B5">
        <v>2013</v>
      </c>
      <c r="C5" t="s">
        <v>35</v>
      </c>
      <c r="D5" s="1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hidden="1" x14ac:dyDescent="0.2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hidden="1" x14ac:dyDescent="0.2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hidden="1" x14ac:dyDescent="0.2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hidden="1" x14ac:dyDescent="0.2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hidden="1" x14ac:dyDescent="0.2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hidden="1" x14ac:dyDescent="0.2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hidden="1" x14ac:dyDescent="0.2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hidden="1" x14ac:dyDescent="0.2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hidden="1" x14ac:dyDescent="0.2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hidden="1" x14ac:dyDescent="0.2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hidden="1" x14ac:dyDescent="0.2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hidden="1" x14ac:dyDescent="0.2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hidden="1" x14ac:dyDescent="0.2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hidden="1" x14ac:dyDescent="0.2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hidden="1" x14ac:dyDescent="0.2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hidden="1" x14ac:dyDescent="0.2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hidden="1" x14ac:dyDescent="0.2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hidden="1" x14ac:dyDescent="0.2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hidden="1" x14ac:dyDescent="0.2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hidden="1" x14ac:dyDescent="0.2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hidden="1" x14ac:dyDescent="0.2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hidden="1" x14ac:dyDescent="0.2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hidden="1" x14ac:dyDescent="0.2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hidden="1" x14ac:dyDescent="0.2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hidden="1" x14ac:dyDescent="0.2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hidden="1" x14ac:dyDescent="0.2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hidden="1" x14ac:dyDescent="0.2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hidden="1" x14ac:dyDescent="0.2">
      <c r="A33" t="s">
        <v>33</v>
      </c>
      <c r="B33">
        <v>2013</v>
      </c>
      <c r="C33" t="s">
        <v>44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hidden="1" x14ac:dyDescent="0.2">
      <c r="A34" t="s">
        <v>34</v>
      </c>
      <c r="B34">
        <v>2013</v>
      </c>
      <c r="C34" t="s">
        <v>44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hidden="1" x14ac:dyDescent="0.2">
      <c r="A35" t="s">
        <v>30</v>
      </c>
      <c r="B35">
        <v>2013</v>
      </c>
      <c r="C35" t="s">
        <v>45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hidden="1" x14ac:dyDescent="0.2">
      <c r="A36" t="s">
        <v>33</v>
      </c>
      <c r="B36">
        <v>2013</v>
      </c>
      <c r="C36" t="s">
        <v>45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hidden="1" x14ac:dyDescent="0.2">
      <c r="A37" t="s">
        <v>34</v>
      </c>
      <c r="B37">
        <v>2013</v>
      </c>
      <c r="C37" t="s">
        <v>45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hidden="1" x14ac:dyDescent="0.2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hidden="1" x14ac:dyDescent="0.2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hidden="1" x14ac:dyDescent="0.2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hidden="1" x14ac:dyDescent="0.2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hidden="1" x14ac:dyDescent="0.2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hidden="1" x14ac:dyDescent="0.2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hidden="1" x14ac:dyDescent="0.2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hidden="1" x14ac:dyDescent="0.2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hidden="1" x14ac:dyDescent="0.2">
      <c r="A46" t="s">
        <v>34</v>
      </c>
      <c r="B46">
        <v>2014</v>
      </c>
      <c r="C46" t="s">
        <v>36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hidden="1" x14ac:dyDescent="0.2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hidden="1" x14ac:dyDescent="0.2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hidden="1" x14ac:dyDescent="0.2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hidden="1" x14ac:dyDescent="0.2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hidden="1" x14ac:dyDescent="0.2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hidden="1" x14ac:dyDescent="0.2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hidden="1" x14ac:dyDescent="0.2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hidden="1" x14ac:dyDescent="0.2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hidden="1" x14ac:dyDescent="0.2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hidden="1" x14ac:dyDescent="0.2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hidden="1" x14ac:dyDescent="0.2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hidden="1" x14ac:dyDescent="0.2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hidden="1" x14ac:dyDescent="0.2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hidden="1" x14ac:dyDescent="0.2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hidden="1" x14ac:dyDescent="0.2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hidden="1" x14ac:dyDescent="0.2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hidden="1" x14ac:dyDescent="0.2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hidden="1" x14ac:dyDescent="0.2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hidden="1" x14ac:dyDescent="0.2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hidden="1" x14ac:dyDescent="0.2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hidden="1" x14ac:dyDescent="0.2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hidden="1" x14ac:dyDescent="0.2">
      <c r="A68" t="s">
        <v>30</v>
      </c>
      <c r="B68">
        <v>2014</v>
      </c>
      <c r="C68" t="s">
        <v>44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hidden="1" x14ac:dyDescent="0.2">
      <c r="A69" t="s">
        <v>33</v>
      </c>
      <c r="B69">
        <v>2014</v>
      </c>
      <c r="C69" t="s">
        <v>44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hidden="1" x14ac:dyDescent="0.2">
      <c r="A70" t="s">
        <v>34</v>
      </c>
      <c r="B70">
        <v>2014</v>
      </c>
      <c r="C70" t="s">
        <v>44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hidden="1" x14ac:dyDescent="0.2">
      <c r="A71" t="s">
        <v>30</v>
      </c>
      <c r="B71">
        <v>2014</v>
      </c>
      <c r="C71" t="s">
        <v>45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hidden="1" x14ac:dyDescent="0.2">
      <c r="A72" t="s">
        <v>33</v>
      </c>
      <c r="B72">
        <v>2014</v>
      </c>
      <c r="C72" t="s">
        <v>45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hidden="1" x14ac:dyDescent="0.2">
      <c r="A73" t="s">
        <v>34</v>
      </c>
      <c r="B73">
        <v>2014</v>
      </c>
      <c r="C73" t="s">
        <v>45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hidden="1" x14ac:dyDescent="0.2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hidden="1" x14ac:dyDescent="0.2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hidden="1" x14ac:dyDescent="0.2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hidden="1" x14ac:dyDescent="0.2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hidden="1" x14ac:dyDescent="0.2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hidden="1" x14ac:dyDescent="0.2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hidden="1" x14ac:dyDescent="0.2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hidden="1" x14ac:dyDescent="0.2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hidden="1" x14ac:dyDescent="0.2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hidden="1" x14ac:dyDescent="0.2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hidden="1" x14ac:dyDescent="0.2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hidden="1" x14ac:dyDescent="0.2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hidden="1" x14ac:dyDescent="0.2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hidden="1" x14ac:dyDescent="0.2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hidden="1" x14ac:dyDescent="0.2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hidden="1" x14ac:dyDescent="0.2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hidden="1" x14ac:dyDescent="0.2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hidden="1" x14ac:dyDescent="0.2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hidden="1" x14ac:dyDescent="0.2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hidden="1" x14ac:dyDescent="0.2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hidden="1" x14ac:dyDescent="0.2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hidden="1" x14ac:dyDescent="0.2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hidden="1" x14ac:dyDescent="0.2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hidden="1" x14ac:dyDescent="0.2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hidden="1" x14ac:dyDescent="0.2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hidden="1" x14ac:dyDescent="0.2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hidden="1" x14ac:dyDescent="0.2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hidden="1" x14ac:dyDescent="0.2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hidden="1" x14ac:dyDescent="0.2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hidden="1" x14ac:dyDescent="0.2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hidden="1" x14ac:dyDescent="0.2">
      <c r="A104" t="s">
        <v>30</v>
      </c>
      <c r="B104">
        <v>2015</v>
      </c>
      <c r="C104" t="s">
        <v>44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hidden="1" x14ac:dyDescent="0.2">
      <c r="A105" t="s">
        <v>33</v>
      </c>
      <c r="B105">
        <v>2015</v>
      </c>
      <c r="C105" t="s">
        <v>44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hidden="1" x14ac:dyDescent="0.2">
      <c r="A106" t="s">
        <v>34</v>
      </c>
      <c r="B106">
        <v>2015</v>
      </c>
      <c r="C106" t="s">
        <v>44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hidden="1" x14ac:dyDescent="0.2">
      <c r="A107" t="s">
        <v>30</v>
      </c>
      <c r="B107">
        <v>2015</v>
      </c>
      <c r="C107" t="s">
        <v>45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hidden="1" x14ac:dyDescent="0.2">
      <c r="A108" t="s">
        <v>33</v>
      </c>
      <c r="B108">
        <v>2015</v>
      </c>
      <c r="C108" t="s">
        <v>45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hidden="1" x14ac:dyDescent="0.2">
      <c r="A109" t="s">
        <v>34</v>
      </c>
      <c r="B109">
        <v>2015</v>
      </c>
      <c r="C109" t="s">
        <v>45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hidden="1" x14ac:dyDescent="0.2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hidden="1" x14ac:dyDescent="0.2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hidden="1" x14ac:dyDescent="0.2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hidden="1" x14ac:dyDescent="0.2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hidden="1" x14ac:dyDescent="0.2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hidden="1" x14ac:dyDescent="0.2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hidden="1" x14ac:dyDescent="0.2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hidden="1" x14ac:dyDescent="0.2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hidden="1" x14ac:dyDescent="0.2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hidden="1" x14ac:dyDescent="0.2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hidden="1" x14ac:dyDescent="0.2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hidden="1" x14ac:dyDescent="0.2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hidden="1" x14ac:dyDescent="0.2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hidden="1" x14ac:dyDescent="0.2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hidden="1" x14ac:dyDescent="0.2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hidden="1" x14ac:dyDescent="0.2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hidden="1" x14ac:dyDescent="0.2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hidden="1" x14ac:dyDescent="0.2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hidden="1" x14ac:dyDescent="0.2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hidden="1" x14ac:dyDescent="0.2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hidden="1" x14ac:dyDescent="0.2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hidden="1" x14ac:dyDescent="0.2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hidden="1" x14ac:dyDescent="0.2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hidden="1" x14ac:dyDescent="0.2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hidden="1" x14ac:dyDescent="0.2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hidden="1" x14ac:dyDescent="0.2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hidden="1" x14ac:dyDescent="0.2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hidden="1" x14ac:dyDescent="0.2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hidden="1" x14ac:dyDescent="0.2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hidden="1" x14ac:dyDescent="0.2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hidden="1" x14ac:dyDescent="0.2">
      <c r="A140" t="s">
        <v>30</v>
      </c>
      <c r="B140">
        <v>2016</v>
      </c>
      <c r="C140" t="s">
        <v>44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hidden="1" x14ac:dyDescent="0.2">
      <c r="A141" t="s">
        <v>33</v>
      </c>
      <c r="B141">
        <v>2016</v>
      </c>
      <c r="C141" t="s">
        <v>44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hidden="1" x14ac:dyDescent="0.2">
      <c r="A142" t="s">
        <v>34</v>
      </c>
      <c r="B142">
        <v>2016</v>
      </c>
      <c r="C142" t="s">
        <v>44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hidden="1" x14ac:dyDescent="0.2">
      <c r="A143" t="s">
        <v>30</v>
      </c>
      <c r="B143">
        <v>2016</v>
      </c>
      <c r="C143" t="s">
        <v>45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hidden="1" x14ac:dyDescent="0.2">
      <c r="A144" t="s">
        <v>33</v>
      </c>
      <c r="B144">
        <v>2016</v>
      </c>
      <c r="C144" t="s">
        <v>45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hidden="1" x14ac:dyDescent="0.2">
      <c r="A145" t="s">
        <v>34</v>
      </c>
      <c r="B145">
        <v>2016</v>
      </c>
      <c r="C145" t="s">
        <v>45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hidden="1" x14ac:dyDescent="0.2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hidden="1" x14ac:dyDescent="0.2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hidden="1" x14ac:dyDescent="0.2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hidden="1" x14ac:dyDescent="0.2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hidden="1" x14ac:dyDescent="0.2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hidden="1" x14ac:dyDescent="0.2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hidden="1" x14ac:dyDescent="0.2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hidden="1" x14ac:dyDescent="0.2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hidden="1" x14ac:dyDescent="0.2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hidden="1" x14ac:dyDescent="0.2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hidden="1" x14ac:dyDescent="0.2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hidden="1" x14ac:dyDescent="0.2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hidden="1" x14ac:dyDescent="0.2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hidden="1" x14ac:dyDescent="0.2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hidden="1" x14ac:dyDescent="0.2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hidden="1" x14ac:dyDescent="0.2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hidden="1" x14ac:dyDescent="0.2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hidden="1" x14ac:dyDescent="0.2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hidden="1" x14ac:dyDescent="0.2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hidden="1" x14ac:dyDescent="0.2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hidden="1" x14ac:dyDescent="0.2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hidden="1" x14ac:dyDescent="0.2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hidden="1" x14ac:dyDescent="0.2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hidden="1" x14ac:dyDescent="0.2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hidden="1" x14ac:dyDescent="0.2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hidden="1" x14ac:dyDescent="0.2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hidden="1" x14ac:dyDescent="0.2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hidden="1" x14ac:dyDescent="0.2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hidden="1" x14ac:dyDescent="0.2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hidden="1" x14ac:dyDescent="0.2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hidden="1" x14ac:dyDescent="0.2">
      <c r="A176" t="s">
        <v>30</v>
      </c>
      <c r="B176">
        <v>2017</v>
      </c>
      <c r="C176" t="s">
        <v>44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hidden="1" x14ac:dyDescent="0.2">
      <c r="A177" t="s">
        <v>33</v>
      </c>
      <c r="B177">
        <v>2017</v>
      </c>
      <c r="C177" t="s">
        <v>44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hidden="1" x14ac:dyDescent="0.2">
      <c r="A178" t="s">
        <v>34</v>
      </c>
      <c r="B178">
        <v>2017</v>
      </c>
      <c r="C178" t="s">
        <v>44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hidden="1" x14ac:dyDescent="0.2">
      <c r="A179" t="s">
        <v>30</v>
      </c>
      <c r="B179">
        <v>2017</v>
      </c>
      <c r="C179" t="s">
        <v>45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hidden="1" x14ac:dyDescent="0.2">
      <c r="A180" t="s">
        <v>33</v>
      </c>
      <c r="B180">
        <v>2017</v>
      </c>
      <c r="C180" t="s">
        <v>45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hidden="1" x14ac:dyDescent="0.2">
      <c r="A181" t="s">
        <v>34</v>
      </c>
      <c r="B181">
        <v>2017</v>
      </c>
      <c r="C181" t="s">
        <v>45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hidden="1" x14ac:dyDescent="0.2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hidden="1" x14ac:dyDescent="0.2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hidden="1" x14ac:dyDescent="0.2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hidden="1" x14ac:dyDescent="0.2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hidden="1" x14ac:dyDescent="0.2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hidden="1" x14ac:dyDescent="0.2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hidden="1" x14ac:dyDescent="0.2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hidden="1" x14ac:dyDescent="0.2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hidden="1" x14ac:dyDescent="0.2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hidden="1" x14ac:dyDescent="0.2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hidden="1" x14ac:dyDescent="0.2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hidden="1" x14ac:dyDescent="0.2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hidden="1" x14ac:dyDescent="0.2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hidden="1" x14ac:dyDescent="0.2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hidden="1" x14ac:dyDescent="0.2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hidden="1" x14ac:dyDescent="0.2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hidden="1" x14ac:dyDescent="0.2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hidden="1" x14ac:dyDescent="0.2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hidden="1" x14ac:dyDescent="0.2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hidden="1" x14ac:dyDescent="0.2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hidden="1" x14ac:dyDescent="0.2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hidden="1" x14ac:dyDescent="0.2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hidden="1" x14ac:dyDescent="0.2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hidden="1" x14ac:dyDescent="0.2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hidden="1" x14ac:dyDescent="0.2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hidden="1" x14ac:dyDescent="0.2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hidden="1" x14ac:dyDescent="0.2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hidden="1" x14ac:dyDescent="0.2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hidden="1" x14ac:dyDescent="0.2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hidden="1" x14ac:dyDescent="0.2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hidden="1" x14ac:dyDescent="0.2">
      <c r="A212" t="s">
        <v>30</v>
      </c>
      <c r="B212">
        <v>2018</v>
      </c>
      <c r="C212" t="s">
        <v>44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hidden="1" x14ac:dyDescent="0.2">
      <c r="A213" t="s">
        <v>33</v>
      </c>
      <c r="B213">
        <v>2018</v>
      </c>
      <c r="C213" t="s">
        <v>44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hidden="1" x14ac:dyDescent="0.2">
      <c r="A214" t="s">
        <v>34</v>
      </c>
      <c r="B214">
        <v>2018</v>
      </c>
      <c r="C214" t="s">
        <v>44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2">
      <c r="A215" t="s">
        <v>30</v>
      </c>
      <c r="B215">
        <v>2018</v>
      </c>
      <c r="C215" t="s">
        <v>45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hidden="1" x14ac:dyDescent="0.2">
      <c r="A216" t="s">
        <v>33</v>
      </c>
      <c r="B216">
        <v>2018</v>
      </c>
      <c r="C216" t="s">
        <v>45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hidden="1" x14ac:dyDescent="0.2">
      <c r="A217" t="s">
        <v>34</v>
      </c>
      <c r="B217">
        <v>2018</v>
      </c>
      <c r="C217" t="s">
        <v>45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hidden="1" x14ac:dyDescent="0.2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hidden="1" x14ac:dyDescent="0.2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hidden="1" x14ac:dyDescent="0.2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hidden="1" x14ac:dyDescent="0.2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hidden="1" x14ac:dyDescent="0.2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hidden="1" x14ac:dyDescent="0.2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hidden="1" x14ac:dyDescent="0.2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hidden="1" x14ac:dyDescent="0.2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hidden="1" x14ac:dyDescent="0.2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hidden="1" x14ac:dyDescent="0.2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hidden="1" x14ac:dyDescent="0.2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hidden="1" x14ac:dyDescent="0.2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hidden="1" x14ac:dyDescent="0.2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hidden="1" x14ac:dyDescent="0.2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hidden="1" x14ac:dyDescent="0.2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hidden="1" x14ac:dyDescent="0.2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hidden="1" x14ac:dyDescent="0.2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hidden="1" x14ac:dyDescent="0.2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hidden="1" x14ac:dyDescent="0.2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hidden="1" x14ac:dyDescent="0.2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hidden="1" x14ac:dyDescent="0.2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hidden="1" x14ac:dyDescent="0.2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hidden="1" x14ac:dyDescent="0.2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hidden="1" x14ac:dyDescent="0.2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hidden="1" x14ac:dyDescent="0.2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hidden="1" x14ac:dyDescent="0.2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hidden="1" x14ac:dyDescent="0.2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hidden="1" x14ac:dyDescent="0.2">
      <c r="A245" t="s">
        <v>30</v>
      </c>
      <c r="B245">
        <v>2019</v>
      </c>
      <c r="C245" t="s">
        <v>44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hidden="1" x14ac:dyDescent="0.2">
      <c r="A246" t="s">
        <v>33</v>
      </c>
      <c r="B246">
        <v>2019</v>
      </c>
      <c r="C246" t="s">
        <v>44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hidden="1" x14ac:dyDescent="0.2">
      <c r="A247" t="s">
        <v>34</v>
      </c>
      <c r="B247">
        <v>2019</v>
      </c>
      <c r="C247" t="s">
        <v>44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hidden="1" x14ac:dyDescent="0.2">
      <c r="A248" t="s">
        <v>30</v>
      </c>
      <c r="B248">
        <v>2019</v>
      </c>
      <c r="C248" t="s">
        <v>45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hidden="1" x14ac:dyDescent="0.2">
      <c r="A249" t="s">
        <v>33</v>
      </c>
      <c r="B249">
        <v>2019</v>
      </c>
      <c r="C249" t="s">
        <v>45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hidden="1" x14ac:dyDescent="0.2">
      <c r="A250" t="s">
        <v>34</v>
      </c>
      <c r="B250">
        <v>2019</v>
      </c>
      <c r="C250" t="s">
        <v>45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hidden="1" x14ac:dyDescent="0.2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hidden="1" x14ac:dyDescent="0.2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hidden="1" x14ac:dyDescent="0.2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hidden="1" x14ac:dyDescent="0.2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hidden="1" x14ac:dyDescent="0.2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hidden="1" x14ac:dyDescent="0.2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hidden="1" x14ac:dyDescent="0.2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hidden="1" x14ac:dyDescent="0.2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hidden="1" x14ac:dyDescent="0.2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hidden="1" x14ac:dyDescent="0.2">
      <c r="A260" t="s">
        <v>30</v>
      </c>
      <c r="B260">
        <v>2020</v>
      </c>
      <c r="C260" t="s">
        <v>37</v>
      </c>
      <c r="D260">
        <v>147.19999999999999</v>
      </c>
      <c r="E260" s="27">
        <f>E257+((E266-E257)/3)</f>
        <v>174.63333333333335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s="27">
        <f>O257+((O266-O257)/3)</f>
        <v>160.6</v>
      </c>
      <c r="P260">
        <v>150.1</v>
      </c>
      <c r="Q260" s="27">
        <f>Q257+((Q266-Q257)/3)</f>
        <v>174.46666666666667</v>
      </c>
      <c r="R260" s="27">
        <f t="shared" ref="R260:T260" si="0">R257+((R266-R257)/3)</f>
        <v>153.83333333333334</v>
      </c>
      <c r="S260" s="27">
        <f t="shared" si="0"/>
        <v>148.4</v>
      </c>
      <c r="T260" s="27">
        <f t="shared" si="0"/>
        <v>153.03333333333333</v>
      </c>
      <c r="U260" t="s">
        <v>32</v>
      </c>
      <c r="V260">
        <v>148.4</v>
      </c>
      <c r="W260" s="27">
        <f>W257+((W266-W257)/3)</f>
        <v>151.56666666666666</v>
      </c>
      <c r="X260">
        <v>154.30000000000001</v>
      </c>
      <c r="Y260" s="27">
        <f t="shared" ref="Y260:AD260" si="1">Y257+((Y266-Y257)/3)</f>
        <v>137.66666666666669</v>
      </c>
      <c r="Z260" s="27">
        <f t="shared" si="1"/>
        <v>151.86666666666665</v>
      </c>
      <c r="AA260" s="27">
        <f t="shared" si="1"/>
        <v>161.4</v>
      </c>
      <c r="AB260" s="27">
        <f t="shared" si="1"/>
        <v>147.13333333333333</v>
      </c>
      <c r="AC260" s="27">
        <f t="shared" si="1"/>
        <v>149.63333333333333</v>
      </c>
      <c r="AD260" s="27">
        <f t="shared" si="1"/>
        <v>150.76666666666668</v>
      </c>
    </row>
    <row r="261" spans="1:30" hidden="1" x14ac:dyDescent="0.2">
      <c r="A261" t="s">
        <v>33</v>
      </c>
      <c r="B261">
        <v>2020</v>
      </c>
      <c r="C261" t="s">
        <v>37</v>
      </c>
      <c r="D261">
        <v>151.80000000000001</v>
      </c>
      <c r="E261" s="27">
        <f t="shared" ref="E261:E262" si="2">E258+((E267-E258)/3)</f>
        <v>177.33333333333334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s="27">
        <f t="shared" ref="O261:O262" si="3">O258+((O267-O258)/3)</f>
        <v>159.96666666666667</v>
      </c>
      <c r="P261">
        <v>153.5</v>
      </c>
      <c r="Q261" s="27">
        <f t="shared" ref="Q261:T261" si="4">Q258+((Q267-Q258)/3)</f>
        <v>177.76666666666668</v>
      </c>
      <c r="R261" s="27">
        <f t="shared" si="4"/>
        <v>148.16666666666666</v>
      </c>
      <c r="S261" s="27">
        <f t="shared" si="4"/>
        <v>134.73333333333335</v>
      </c>
      <c r="T261" s="27">
        <f t="shared" si="4"/>
        <v>146.13333333333333</v>
      </c>
      <c r="U261">
        <v>155.6</v>
      </c>
      <c r="V261">
        <v>137.1</v>
      </c>
      <c r="W261" s="27">
        <f t="shared" ref="W261:W262" si="5">W258+((W267-W258)/3)</f>
        <v>140.66666666666669</v>
      </c>
      <c r="X261">
        <v>144.80000000000001</v>
      </c>
      <c r="Y261" s="27">
        <f t="shared" ref="Y261:AD261" si="6">Y258+((Y267-Y258)/3)</f>
        <v>126.16666666666667</v>
      </c>
      <c r="Z261" s="27">
        <f t="shared" si="6"/>
        <v>140.1</v>
      </c>
      <c r="AA261" s="27">
        <f t="shared" si="6"/>
        <v>152.5</v>
      </c>
      <c r="AB261" s="27">
        <f t="shared" si="6"/>
        <v>147.6</v>
      </c>
      <c r="AC261" s="27">
        <f t="shared" si="6"/>
        <v>139.79999999999998</v>
      </c>
      <c r="AD261" s="27">
        <f t="shared" si="6"/>
        <v>148.46666666666667</v>
      </c>
    </row>
    <row r="262" spans="1:30" hidden="1" x14ac:dyDescent="0.2">
      <c r="A262" t="s">
        <v>34</v>
      </c>
      <c r="B262">
        <v>2020</v>
      </c>
      <c r="C262" t="s">
        <v>37</v>
      </c>
      <c r="D262">
        <v>148.69999999999999</v>
      </c>
      <c r="E262" s="27">
        <f t="shared" si="2"/>
        <v>175.56666666666666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s="27">
        <f t="shared" si="3"/>
        <v>160.33333333333334</v>
      </c>
      <c r="P262">
        <v>151.4</v>
      </c>
      <c r="Q262" s="27">
        <f t="shared" ref="Q262:T262" si="7">Q259+((Q268-Q259)/3)</f>
        <v>175.29999999999998</v>
      </c>
      <c r="R262" s="27">
        <f t="shared" si="7"/>
        <v>151.63333333333333</v>
      </c>
      <c r="S262" s="27">
        <f t="shared" si="7"/>
        <v>142.73333333333335</v>
      </c>
      <c r="T262" s="27">
        <f t="shared" si="7"/>
        <v>150.33333333333334</v>
      </c>
      <c r="U262">
        <v>155.6</v>
      </c>
      <c r="V262">
        <v>144.1</v>
      </c>
      <c r="W262">
        <f t="shared" si="5"/>
        <v>146.4</v>
      </c>
      <c r="X262">
        <v>150.69999999999999</v>
      </c>
      <c r="Y262" s="27">
        <f t="shared" ref="Y262:AD262" si="8">Y259+((Y268-Y259)/3)</f>
        <v>131.6</v>
      </c>
      <c r="Z262" s="27">
        <f t="shared" si="8"/>
        <v>145.23333333333332</v>
      </c>
      <c r="AA262" s="27">
        <f t="shared" si="8"/>
        <v>156.19999999999999</v>
      </c>
      <c r="AB262" s="27">
        <f t="shared" si="8"/>
        <v>147.33333333333331</v>
      </c>
      <c r="AC262" s="27">
        <f t="shared" si="8"/>
        <v>144.86666666666667</v>
      </c>
      <c r="AD262" s="27">
        <f t="shared" si="8"/>
        <v>149.66666666666666</v>
      </c>
    </row>
    <row r="263" spans="1:30" hidden="1" x14ac:dyDescent="0.2">
      <c r="A263" t="s">
        <v>30</v>
      </c>
      <c r="B263">
        <v>2020</v>
      </c>
      <c r="C263" t="s">
        <v>38</v>
      </c>
      <c r="D263">
        <f>D260+((D266-D260)/2)</f>
        <v>147.69999999999999</v>
      </c>
      <c r="E263">
        <f>E257+((E266-E257)/2)*2</f>
        <v>190.3</v>
      </c>
      <c r="F263">
        <f t="shared" ref="F263:X263" si="9">F260+((F266-F260)/2)</f>
        <v>148.15</v>
      </c>
      <c r="G263">
        <f t="shared" si="9"/>
        <v>154.44999999999999</v>
      </c>
      <c r="H263">
        <f t="shared" si="9"/>
        <v>137.64999999999998</v>
      </c>
      <c r="I263">
        <f t="shared" si="9"/>
        <v>145.25</v>
      </c>
      <c r="J263">
        <f t="shared" si="9"/>
        <v>155.80000000000001</v>
      </c>
      <c r="K263">
        <f t="shared" si="9"/>
        <v>150.25</v>
      </c>
      <c r="L263">
        <f t="shared" si="9"/>
        <v>116.5</v>
      </c>
      <c r="M263">
        <f t="shared" si="9"/>
        <v>159.25</v>
      </c>
      <c r="N263">
        <f t="shared" si="9"/>
        <v>140.64999999999998</v>
      </c>
      <c r="O263">
        <f>O257+((O266-O257)/2)*2</f>
        <v>161.80000000000001</v>
      </c>
      <c r="P263">
        <f t="shared" si="9"/>
        <v>151.19999999999999</v>
      </c>
      <c r="Q263" s="27">
        <f>Q257+((Q266-Q257)/2)*2</f>
        <v>182.4</v>
      </c>
      <c r="R263" s="27">
        <f t="shared" ref="R263:T263" si="10">R257+((R266-R257)/2)*2</f>
        <v>154.69999999999999</v>
      </c>
      <c r="S263" s="27">
        <f t="shared" si="10"/>
        <v>150</v>
      </c>
      <c r="T263" s="27">
        <f t="shared" si="10"/>
        <v>154.1</v>
      </c>
      <c r="U263" t="s">
        <v>32</v>
      </c>
      <c r="V263">
        <f t="shared" si="9"/>
        <v>146.65</v>
      </c>
      <c r="W263">
        <f>W257+((W266-W257)/2)*2</f>
        <v>151.69999999999999</v>
      </c>
      <c r="X263">
        <f t="shared" si="9"/>
        <v>156.25</v>
      </c>
      <c r="Y263" s="27">
        <f>Y257+((Y266-Y257)/2)*2</f>
        <v>141.4</v>
      </c>
      <c r="Z263" s="27">
        <f t="shared" ref="Z263:AD263" si="11">Z257+((Z266-Z257)/2)*2</f>
        <v>153.19999999999999</v>
      </c>
      <c r="AA263" s="27">
        <f t="shared" si="11"/>
        <v>161.80000000000001</v>
      </c>
      <c r="AB263" s="27">
        <f t="shared" si="11"/>
        <v>151.19999999999999</v>
      </c>
      <c r="AC263" s="27">
        <f t="shared" si="11"/>
        <v>151.69999999999999</v>
      </c>
      <c r="AD263" s="27">
        <f t="shared" si="11"/>
        <v>152.69999999999999</v>
      </c>
    </row>
    <row r="264" spans="1:30" hidden="1" x14ac:dyDescent="0.2">
      <c r="A264" t="s">
        <v>33</v>
      </c>
      <c r="B264">
        <v>2020</v>
      </c>
      <c r="C264" t="s">
        <v>38</v>
      </c>
      <c r="D264">
        <f t="shared" ref="D264:D265" si="12">D261+((D267-D261)/2)</f>
        <v>152.25</v>
      </c>
      <c r="E264">
        <f t="shared" ref="E264:E265" si="13">E258+((E267-E258)/2)*2</f>
        <v>197</v>
      </c>
      <c r="F264">
        <f t="shared" ref="F264:N264" si="14">F261+((F267-F261)/2)</f>
        <v>153.25</v>
      </c>
      <c r="G264">
        <f t="shared" si="14"/>
        <v>154.44999999999999</v>
      </c>
      <c r="H264">
        <f t="shared" si="14"/>
        <v>132.25</v>
      </c>
      <c r="I264">
        <f t="shared" si="14"/>
        <v>152.35000000000002</v>
      </c>
      <c r="J264">
        <f t="shared" si="14"/>
        <v>175.6</v>
      </c>
      <c r="K264">
        <f t="shared" si="14"/>
        <v>151.4</v>
      </c>
      <c r="L264">
        <f t="shared" si="14"/>
        <v>118.75</v>
      </c>
      <c r="M264">
        <f t="shared" si="14"/>
        <v>156.4</v>
      </c>
      <c r="N264">
        <f t="shared" si="14"/>
        <v>134.55000000000001</v>
      </c>
      <c r="O264">
        <f t="shared" ref="O264:O265" si="15">O258+((O267-O258)/2)*2</f>
        <v>161.69999999999999</v>
      </c>
      <c r="P264">
        <f t="shared" ref="P264" si="16">P261+((P267-P261)/2)</f>
        <v>155.25</v>
      </c>
      <c r="Q264" s="27">
        <f t="shared" ref="Q264:T264" si="17">Q258+((Q267-Q258)/2)*2</f>
        <v>186.7</v>
      </c>
      <c r="R264" s="27">
        <f t="shared" si="17"/>
        <v>149.1</v>
      </c>
      <c r="S264" s="27">
        <f t="shared" si="17"/>
        <v>136.6</v>
      </c>
      <c r="T264" s="27">
        <f t="shared" si="17"/>
        <v>147.19999999999999</v>
      </c>
      <c r="U264" s="27">
        <f>U261+((U267-U261)/2)</f>
        <v>155.14999999999998</v>
      </c>
      <c r="V264">
        <f t="shared" ref="V264" si="18">V261+((V267-V261)/2)</f>
        <v>137.1</v>
      </c>
      <c r="W264">
        <f t="shared" ref="W264:W265" si="19">W258+((W267-W258)/2)*2</f>
        <v>140.4</v>
      </c>
      <c r="X264">
        <f t="shared" ref="X264" si="20">X261+((X267-X261)/2)</f>
        <v>146.44999999999999</v>
      </c>
      <c r="Y264" s="27">
        <f t="shared" ref="Y264:AD264" si="21">Y258+((Y267-Y258)/2)*2</f>
        <v>129.30000000000001</v>
      </c>
      <c r="Z264" s="27">
        <f t="shared" si="21"/>
        <v>144.5</v>
      </c>
      <c r="AA264" s="27">
        <f t="shared" si="21"/>
        <v>152.5</v>
      </c>
      <c r="AB264" s="27">
        <f t="shared" si="21"/>
        <v>152.19999999999999</v>
      </c>
      <c r="AC264" s="27">
        <f t="shared" si="21"/>
        <v>142</v>
      </c>
      <c r="AD264" s="27">
        <f t="shared" si="21"/>
        <v>150.80000000000001</v>
      </c>
    </row>
    <row r="265" spans="1:30" hidden="1" x14ac:dyDescent="0.2">
      <c r="A265" t="s">
        <v>34</v>
      </c>
      <c r="B265">
        <v>2020</v>
      </c>
      <c r="C265" t="s">
        <v>38</v>
      </c>
      <c r="D265">
        <f t="shared" si="12"/>
        <v>149.14999999999998</v>
      </c>
      <c r="E265">
        <f t="shared" si="13"/>
        <v>192.7</v>
      </c>
      <c r="F265">
        <f t="shared" ref="F265:N265" si="22">F262+((F268-F262)/2)</f>
        <v>150.10000000000002</v>
      </c>
      <c r="G265">
        <f t="shared" si="22"/>
        <v>154.44999999999999</v>
      </c>
      <c r="H265">
        <f t="shared" si="22"/>
        <v>135.69999999999999</v>
      </c>
      <c r="I265">
        <f t="shared" si="22"/>
        <v>148.55000000000001</v>
      </c>
      <c r="J265">
        <f t="shared" si="22"/>
        <v>162.55000000000001</v>
      </c>
      <c r="K265">
        <f t="shared" si="22"/>
        <v>150.65</v>
      </c>
      <c r="L265">
        <f t="shared" si="22"/>
        <v>117.25</v>
      </c>
      <c r="M265">
        <f t="shared" si="22"/>
        <v>158.30000000000001</v>
      </c>
      <c r="N265">
        <f t="shared" si="22"/>
        <v>138.10000000000002</v>
      </c>
      <c r="O265">
        <f t="shared" si="15"/>
        <v>161.80000000000001</v>
      </c>
      <c r="P265">
        <f t="shared" ref="P265" si="23">P262+((P268-P262)/2)</f>
        <v>152.69999999999999</v>
      </c>
      <c r="Q265" s="27">
        <f t="shared" ref="Q265:T265" si="24">Q259+((Q268-Q259)/2)*2</f>
        <v>183.5</v>
      </c>
      <c r="R265" s="27">
        <f t="shared" si="24"/>
        <v>152.5</v>
      </c>
      <c r="S265" s="27">
        <f t="shared" si="24"/>
        <v>144.4</v>
      </c>
      <c r="T265" s="27">
        <f t="shared" si="24"/>
        <v>151.4</v>
      </c>
      <c r="U265" s="27">
        <f>U262+((U268-U262)/2)</f>
        <v>155.14999999999998</v>
      </c>
      <c r="V265">
        <f t="shared" ref="V265" si="25">V262+((V268-V262)/2)</f>
        <v>143</v>
      </c>
      <c r="W265">
        <f t="shared" si="19"/>
        <v>146.4</v>
      </c>
      <c r="X265">
        <f t="shared" ref="X265" si="26">X262+((X268-X262)/2)</f>
        <v>152.55000000000001</v>
      </c>
      <c r="Y265" s="27">
        <f t="shared" ref="Y265:AD265" si="27">Y259+((Y268-Y259)/2)*2</f>
        <v>135</v>
      </c>
      <c r="Z265" s="27">
        <f t="shared" si="27"/>
        <v>148.30000000000001</v>
      </c>
      <c r="AA265" s="27">
        <f t="shared" si="27"/>
        <v>156.4</v>
      </c>
      <c r="AB265" s="27">
        <f t="shared" si="27"/>
        <v>151.6</v>
      </c>
      <c r="AC265" s="27">
        <f t="shared" si="27"/>
        <v>147</v>
      </c>
      <c r="AD265" s="27">
        <f t="shared" si="27"/>
        <v>151.80000000000001</v>
      </c>
    </row>
    <row r="266" spans="1:30" hidden="1" x14ac:dyDescent="0.2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hidden="1" x14ac:dyDescent="0.2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hidden="1" x14ac:dyDescent="0.2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hidden="1" x14ac:dyDescent="0.2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hidden="1" x14ac:dyDescent="0.2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hidden="1" x14ac:dyDescent="0.2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hidden="1" x14ac:dyDescent="0.2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hidden="1" x14ac:dyDescent="0.2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hidden="1" x14ac:dyDescent="0.2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hidden="1" x14ac:dyDescent="0.2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hidden="1" x14ac:dyDescent="0.2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hidden="1" x14ac:dyDescent="0.2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hidden="1" x14ac:dyDescent="0.2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hidden="1" x14ac:dyDescent="0.2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hidden="1" x14ac:dyDescent="0.2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hidden="1" x14ac:dyDescent="0.2">
      <c r="A281" t="s">
        <v>30</v>
      </c>
      <c r="B281">
        <v>2020</v>
      </c>
      <c r="C281" t="s">
        <v>44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hidden="1" x14ac:dyDescent="0.2">
      <c r="A282" t="s">
        <v>33</v>
      </c>
      <c r="B282">
        <v>2020</v>
      </c>
      <c r="C282" t="s">
        <v>44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hidden="1" x14ac:dyDescent="0.2">
      <c r="A283" t="s">
        <v>34</v>
      </c>
      <c r="B283">
        <v>2020</v>
      </c>
      <c r="C283" t="s">
        <v>44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hidden="1" x14ac:dyDescent="0.2">
      <c r="A284" t="s">
        <v>30</v>
      </c>
      <c r="B284">
        <v>2020</v>
      </c>
      <c r="C284" t="s">
        <v>45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hidden="1" x14ac:dyDescent="0.2">
      <c r="A285" t="s">
        <v>33</v>
      </c>
      <c r="B285">
        <v>2020</v>
      </c>
      <c r="C285" t="s">
        <v>45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hidden="1" x14ac:dyDescent="0.2">
      <c r="A286" t="s">
        <v>34</v>
      </c>
      <c r="B286">
        <v>2020</v>
      </c>
      <c r="C286" t="s">
        <v>45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hidden="1" x14ac:dyDescent="0.2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hidden="1" x14ac:dyDescent="0.2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hidden="1" x14ac:dyDescent="0.2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hidden="1" x14ac:dyDescent="0.2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hidden="1" x14ac:dyDescent="0.2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32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hidden="1" x14ac:dyDescent="0.2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hidden="1" x14ac:dyDescent="0.2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32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hidden="1" x14ac:dyDescent="0.2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hidden="1" x14ac:dyDescent="0.2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hidden="1" x14ac:dyDescent="0.2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hidden="1" x14ac:dyDescent="0.2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hidden="1" x14ac:dyDescent="0.2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hidden="1" x14ac:dyDescent="0.2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hidden="1" x14ac:dyDescent="0.2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hidden="1" x14ac:dyDescent="0.2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hidden="1" x14ac:dyDescent="0.2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hidden="1" x14ac:dyDescent="0.2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hidden="1" x14ac:dyDescent="0.2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hidden="1" x14ac:dyDescent="0.2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hidden="1" x14ac:dyDescent="0.2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hidden="1" x14ac:dyDescent="0.2">
      <c r="A317" t="s">
        <v>30</v>
      </c>
      <c r="B317">
        <v>2021</v>
      </c>
      <c r="C317" t="s">
        <v>44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hidden="1" x14ac:dyDescent="0.2">
      <c r="A318" t="s">
        <v>33</v>
      </c>
      <c r="B318">
        <v>2021</v>
      </c>
      <c r="C318" t="s">
        <v>44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">
      <c r="A319" t="s">
        <v>34</v>
      </c>
      <c r="B319">
        <v>2021</v>
      </c>
      <c r="C319" t="s">
        <v>44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hidden="1" x14ac:dyDescent="0.2">
      <c r="A320" t="s">
        <v>30</v>
      </c>
      <c r="B320">
        <v>2021</v>
      </c>
      <c r="C320" t="s">
        <v>45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hidden="1" x14ac:dyDescent="0.2">
      <c r="A321" t="s">
        <v>33</v>
      </c>
      <c r="B321">
        <v>2021</v>
      </c>
      <c r="C321" t="s">
        <v>45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">
      <c r="A322" t="s">
        <v>34</v>
      </c>
      <c r="B322">
        <v>2021</v>
      </c>
      <c r="C322" t="s">
        <v>45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hidden="1" x14ac:dyDescent="0.2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hidden="1" x14ac:dyDescent="0.2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hidden="1" x14ac:dyDescent="0.2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hidden="1" x14ac:dyDescent="0.2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hidden="1" x14ac:dyDescent="0.2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hidden="1" x14ac:dyDescent="0.2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hidden="1" x14ac:dyDescent="0.2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hidden="1" x14ac:dyDescent="0.2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hidden="1" x14ac:dyDescent="0.2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hidden="1" x14ac:dyDescent="0.2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hidden="1" x14ac:dyDescent="0.2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hidden="1" x14ac:dyDescent="0.2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hidden="1" x14ac:dyDescent="0.2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hidden="1" x14ac:dyDescent="0.2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hidden="1" x14ac:dyDescent="0.2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hidden="1" x14ac:dyDescent="0.2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hidden="1" x14ac:dyDescent="0.2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hidden="1" x14ac:dyDescent="0.2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hidden="1" x14ac:dyDescent="0.2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hidden="1" x14ac:dyDescent="0.2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hidden="1" x14ac:dyDescent="0.2">
      <c r="A353" t="s">
        <v>30</v>
      </c>
      <c r="B353">
        <v>2022</v>
      </c>
      <c r="C353" t="s">
        <v>44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hidden="1" x14ac:dyDescent="0.2">
      <c r="A354" t="s">
        <v>33</v>
      </c>
      <c r="B354">
        <v>2022</v>
      </c>
      <c r="C354" t="s">
        <v>44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">
      <c r="A355" t="s">
        <v>34</v>
      </c>
      <c r="B355">
        <v>2022</v>
      </c>
      <c r="C355" t="s">
        <v>44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hidden="1" x14ac:dyDescent="0.2">
      <c r="A356" t="s">
        <v>30</v>
      </c>
      <c r="B356">
        <v>2022</v>
      </c>
      <c r="C356" t="s">
        <v>45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hidden="1" x14ac:dyDescent="0.2">
      <c r="A357" t="s">
        <v>33</v>
      </c>
      <c r="B357">
        <v>2022</v>
      </c>
      <c r="C357" t="s">
        <v>45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">
      <c r="A358" t="s">
        <v>34</v>
      </c>
      <c r="B358">
        <v>2022</v>
      </c>
      <c r="C358" t="s">
        <v>45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hidden="1" x14ac:dyDescent="0.2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hidden="1" x14ac:dyDescent="0.2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hidden="1" x14ac:dyDescent="0.2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hidden="1" x14ac:dyDescent="0.2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hidden="1" x14ac:dyDescent="0.2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hidden="1" x14ac:dyDescent="0.2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hidden="1" x14ac:dyDescent="0.2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32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hidden="1" x14ac:dyDescent="0.2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hidden="1" x14ac:dyDescent="0.2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32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hidden="1" x14ac:dyDescent="0.2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B45C-517D-422F-B300-FE9876A9A42D}">
  <sheetPr codeName="Sheet3"/>
  <dimension ref="A1:J34"/>
  <sheetViews>
    <sheetView tabSelected="1" zoomScaleNormal="100" workbookViewId="0">
      <selection activeCell="G1" sqref="G1"/>
    </sheetView>
  </sheetViews>
  <sheetFormatPr defaultRowHeight="12.75" x14ac:dyDescent="0.2"/>
  <cols>
    <col min="1" max="1" width="34.140625" customWidth="1"/>
    <col min="2" max="2" width="20.5703125" customWidth="1"/>
    <col min="3" max="3" width="13.85546875" customWidth="1"/>
    <col min="4" max="4" width="14.5703125" customWidth="1"/>
    <col min="5" max="5" width="8.5703125" customWidth="1"/>
    <col min="6" max="6" width="26.42578125" customWidth="1"/>
    <col min="7" max="7" width="37.85546875" customWidth="1"/>
    <col min="8" max="8" width="15.5703125" customWidth="1"/>
    <col min="10" max="10" width="14.140625" customWidth="1"/>
  </cols>
  <sheetData>
    <row r="1" spans="1:10" ht="25.5" customHeight="1" thickBot="1" x14ac:dyDescent="0.25">
      <c r="A1" s="115" t="s">
        <v>51</v>
      </c>
      <c r="B1" s="116"/>
      <c r="C1" s="116"/>
      <c r="D1" s="116"/>
      <c r="E1" s="116"/>
      <c r="F1" s="18">
        <v>3</v>
      </c>
      <c r="G1" s="25" t="s">
        <v>52</v>
      </c>
      <c r="H1" s="20"/>
      <c r="I1" s="19"/>
      <c r="J1" s="19"/>
    </row>
    <row r="2" spans="1:10" x14ac:dyDescent="0.2">
      <c r="G2" s="20"/>
      <c r="H2" s="20"/>
      <c r="I2" s="19"/>
      <c r="J2" s="19"/>
    </row>
    <row r="3" spans="1:10" x14ac:dyDescent="0.2">
      <c r="F3" s="22" t="s">
        <v>49</v>
      </c>
      <c r="G3" s="21" t="str">
        <f>INDEX(A31:A33, SECTOR)</f>
        <v>Rural+Urban</v>
      </c>
      <c r="H3" s="20"/>
      <c r="I3" s="19"/>
      <c r="J3" s="19"/>
    </row>
    <row r="4" spans="1:10" x14ac:dyDescent="0.2">
      <c r="A4" s="6" t="s">
        <v>0</v>
      </c>
      <c r="B4" s="7" t="s">
        <v>30</v>
      </c>
      <c r="C4" s="8" t="s">
        <v>33</v>
      </c>
      <c r="D4" s="3" t="s">
        <v>34</v>
      </c>
      <c r="F4" s="12" t="s">
        <v>50</v>
      </c>
      <c r="G4" s="13">
        <f t="shared" ref="G4:G9" si="0">SUMIF($F$12:$F$34, F4, $H$12:$H$34)</f>
        <v>0.51728497107016091</v>
      </c>
      <c r="H4" s="19"/>
      <c r="I4" s="19"/>
      <c r="J4" s="19"/>
    </row>
    <row r="5" spans="1:10" x14ac:dyDescent="0.2">
      <c r="A5" s="2" t="s">
        <v>3</v>
      </c>
      <c r="B5" s="4">
        <v>173.2</v>
      </c>
      <c r="C5" s="5">
        <v>174.7</v>
      </c>
      <c r="D5" s="4">
        <v>173.7</v>
      </c>
      <c r="F5" s="12" t="s">
        <v>16</v>
      </c>
      <c r="G5" s="14">
        <f t="shared" si="0"/>
        <v>4.8864686147712361E-2</v>
      </c>
      <c r="H5" s="19"/>
      <c r="I5" s="19"/>
      <c r="J5" s="19"/>
    </row>
    <row r="6" spans="1:10" x14ac:dyDescent="0.2">
      <c r="A6" s="2" t="s">
        <v>4</v>
      </c>
      <c r="B6" s="4">
        <v>211.5</v>
      </c>
      <c r="C6" s="5">
        <v>219.4</v>
      </c>
      <c r="D6" s="4">
        <v>214.3</v>
      </c>
      <c r="F6" s="12" t="s">
        <v>19</v>
      </c>
      <c r="G6" s="13">
        <f t="shared" si="0"/>
        <v>8.9220596100549429E-2</v>
      </c>
      <c r="H6" s="19"/>
      <c r="I6" s="19"/>
      <c r="J6" s="19"/>
    </row>
    <row r="7" spans="1:10" x14ac:dyDescent="0.2">
      <c r="A7" s="2" t="s">
        <v>5</v>
      </c>
      <c r="B7" s="4">
        <v>171</v>
      </c>
      <c r="C7" s="5">
        <v>176.7</v>
      </c>
      <c r="D7" s="4">
        <v>173.2</v>
      </c>
      <c r="F7" s="12" t="s">
        <v>20</v>
      </c>
      <c r="G7" s="14">
        <f t="shared" si="0"/>
        <v>4.2689745709145722E-2</v>
      </c>
      <c r="H7" s="19"/>
      <c r="I7" s="19"/>
      <c r="J7" s="19"/>
    </row>
    <row r="8" spans="1:10" x14ac:dyDescent="0.2">
      <c r="A8" s="2" t="s">
        <v>6</v>
      </c>
      <c r="B8" s="4">
        <v>179.6</v>
      </c>
      <c r="C8" s="5">
        <v>179.4</v>
      </c>
      <c r="D8" s="4">
        <v>179.5</v>
      </c>
      <c r="F8" s="12" t="s">
        <v>21</v>
      </c>
      <c r="G8" s="13">
        <f t="shared" si="0"/>
        <v>4.4440122526377211E-2</v>
      </c>
      <c r="H8" s="19"/>
      <c r="I8" s="19"/>
      <c r="J8" s="19"/>
    </row>
    <row r="9" spans="1:10" x14ac:dyDescent="0.2">
      <c r="A9" s="2" t="s">
        <v>7</v>
      </c>
      <c r="B9" s="4">
        <v>173.3</v>
      </c>
      <c r="C9" s="5">
        <v>164.4</v>
      </c>
      <c r="D9" s="4">
        <v>170</v>
      </c>
      <c r="F9" s="15" t="s">
        <v>28</v>
      </c>
      <c r="G9" s="16">
        <f t="shared" si="0"/>
        <v>0.25749987844605438</v>
      </c>
      <c r="H9" s="19"/>
      <c r="I9" s="19"/>
      <c r="J9" s="19"/>
    </row>
    <row r="10" spans="1:10" x14ac:dyDescent="0.2">
      <c r="A10" s="2" t="s">
        <v>8</v>
      </c>
      <c r="B10" s="4">
        <v>169</v>
      </c>
      <c r="C10" s="5">
        <v>175.8</v>
      </c>
      <c r="D10" s="4">
        <v>172.2</v>
      </c>
      <c r="H10" s="19"/>
      <c r="I10" s="19"/>
      <c r="J10" s="19"/>
    </row>
    <row r="11" spans="1:10" x14ac:dyDescent="0.2">
      <c r="A11" s="2" t="s">
        <v>9</v>
      </c>
      <c r="B11" s="4">
        <v>148.69999999999999</v>
      </c>
      <c r="C11" s="5">
        <v>185</v>
      </c>
      <c r="D11" s="4">
        <v>161</v>
      </c>
      <c r="F11" s="22" t="s">
        <v>49</v>
      </c>
      <c r="G11" s="23" t="s">
        <v>48</v>
      </c>
      <c r="H11" s="24" t="str">
        <f>INDEX(A31:A33, SECTOR)</f>
        <v>Rural+Urban</v>
      </c>
      <c r="I11" s="19"/>
      <c r="J11" s="19"/>
    </row>
    <row r="12" spans="1:10" x14ac:dyDescent="0.2">
      <c r="A12" s="2" t="s">
        <v>10</v>
      </c>
      <c r="B12" s="4">
        <v>174.9</v>
      </c>
      <c r="C12" s="5">
        <v>176.9</v>
      </c>
      <c r="D12" s="4">
        <v>175.6</v>
      </c>
      <c r="F12" s="12" t="s">
        <v>50</v>
      </c>
      <c r="G12" s="12" t="s">
        <v>3</v>
      </c>
      <c r="H12" s="13">
        <f>IF($H$11="Rural", IFERROR(VALUE(B5),0)/B$28, IF($H$11="Urban", IFERROR(VALUE(C5),0)/C$28, IFERROR(VALUE(D5),0)/D$28))</f>
        <v>4.2227840715709633E-2</v>
      </c>
      <c r="I12" s="19"/>
      <c r="J12" s="19"/>
    </row>
    <row r="13" spans="1:10" x14ac:dyDescent="0.2">
      <c r="A13" s="2" t="s">
        <v>11</v>
      </c>
      <c r="B13" s="4">
        <v>121.9</v>
      </c>
      <c r="C13" s="5">
        <v>124.2</v>
      </c>
      <c r="D13" s="4">
        <v>122.7</v>
      </c>
      <c r="F13" s="12" t="s">
        <v>50</v>
      </c>
      <c r="G13" s="12" t="s">
        <v>4</v>
      </c>
      <c r="H13" s="13">
        <f t="shared" ref="H13:H34" si="1">IF($H$11="Rural", IFERROR(VALUE(B6),0)/B$28, IF($H$11="Urban", IFERROR(VALUE(C6),0)/C$28, IFERROR(VALUE(D6),0)/D$28))</f>
        <v>5.2098021101764973E-2</v>
      </c>
      <c r="I13" s="19"/>
      <c r="J13" s="19"/>
    </row>
    <row r="14" spans="1:10" x14ac:dyDescent="0.2">
      <c r="A14" s="2" t="s">
        <v>12</v>
      </c>
      <c r="B14" s="4">
        <v>221</v>
      </c>
      <c r="C14" s="5">
        <v>211.9</v>
      </c>
      <c r="D14" s="4">
        <v>218</v>
      </c>
      <c r="F14" s="12" t="s">
        <v>50</v>
      </c>
      <c r="G14" s="12" t="s">
        <v>5</v>
      </c>
      <c r="H14" s="13">
        <f t="shared" si="1"/>
        <v>4.2106286770068557E-2</v>
      </c>
      <c r="I14" s="19"/>
      <c r="J14" s="19"/>
    </row>
    <row r="15" spans="1:10" x14ac:dyDescent="0.2">
      <c r="A15" s="2" t="s">
        <v>13</v>
      </c>
      <c r="B15" s="4">
        <v>178.7</v>
      </c>
      <c r="C15" s="5">
        <v>165.9</v>
      </c>
      <c r="D15" s="4">
        <v>173.4</v>
      </c>
      <c r="F15" s="12" t="s">
        <v>50</v>
      </c>
      <c r="G15" s="12" t="s">
        <v>6</v>
      </c>
      <c r="H15" s="13">
        <f t="shared" si="1"/>
        <v>4.3637866485146115E-2</v>
      </c>
      <c r="I15" s="19"/>
      <c r="J15" s="19"/>
    </row>
    <row r="16" spans="1:10" x14ac:dyDescent="0.2">
      <c r="A16" s="2" t="s">
        <v>14</v>
      </c>
      <c r="B16" s="4">
        <v>191.1</v>
      </c>
      <c r="C16" s="5">
        <v>197.7</v>
      </c>
      <c r="D16" s="4">
        <v>194.2</v>
      </c>
      <c r="F16" s="12" t="s">
        <v>50</v>
      </c>
      <c r="G16" s="12" t="s">
        <v>7</v>
      </c>
      <c r="H16" s="13">
        <f t="shared" si="1"/>
        <v>4.1328341517965675E-2</v>
      </c>
      <c r="I16" s="19"/>
      <c r="J16" s="19"/>
    </row>
    <row r="17" spans="1:10" x14ac:dyDescent="0.2">
      <c r="A17" s="2" t="s">
        <v>16</v>
      </c>
      <c r="B17" s="4">
        <v>199.9</v>
      </c>
      <c r="C17" s="5">
        <v>204.2</v>
      </c>
      <c r="D17" s="4">
        <v>201</v>
      </c>
      <c r="F17" s="12" t="s">
        <v>50</v>
      </c>
      <c r="G17" s="12" t="s">
        <v>8</v>
      </c>
      <c r="H17" s="13">
        <f t="shared" si="1"/>
        <v>4.1863178878786406E-2</v>
      </c>
      <c r="I17" s="19"/>
      <c r="J17" s="19"/>
    </row>
    <row r="18" spans="1:10" x14ac:dyDescent="0.2">
      <c r="A18" s="2" t="s">
        <v>17</v>
      </c>
      <c r="B18" s="4">
        <v>191.2</v>
      </c>
      <c r="C18" s="5">
        <v>181.3</v>
      </c>
      <c r="D18" s="4">
        <v>187.3</v>
      </c>
      <c r="F18" s="12" t="s">
        <v>50</v>
      </c>
      <c r="G18" s="12" t="s">
        <v>9</v>
      </c>
      <c r="H18" s="13">
        <f t="shared" si="1"/>
        <v>3.9140370496426317E-2</v>
      </c>
      <c r="I18" s="19"/>
      <c r="J18" s="19"/>
    </row>
    <row r="19" spans="1:10" x14ac:dyDescent="0.2">
      <c r="A19" s="2" t="s">
        <v>18</v>
      </c>
      <c r="B19" s="4">
        <v>187.9</v>
      </c>
      <c r="C19" s="5">
        <v>168.1</v>
      </c>
      <c r="D19" s="4">
        <v>179.7</v>
      </c>
      <c r="F19" s="12" t="s">
        <v>50</v>
      </c>
      <c r="G19" s="12" t="s">
        <v>10</v>
      </c>
      <c r="H19" s="13">
        <f t="shared" si="1"/>
        <v>4.2689745709145722E-2</v>
      </c>
      <c r="I19" s="19"/>
      <c r="J19" s="19"/>
    </row>
    <row r="20" spans="1:10" x14ac:dyDescent="0.2">
      <c r="A20" s="2" t="s">
        <v>20</v>
      </c>
      <c r="B20" s="4" t="s">
        <v>32</v>
      </c>
      <c r="C20" s="5">
        <v>175.6</v>
      </c>
      <c r="D20" s="4">
        <v>175.6</v>
      </c>
      <c r="F20" s="12" t="s">
        <v>50</v>
      </c>
      <c r="G20" s="12" t="s">
        <v>11</v>
      </c>
      <c r="H20" s="13">
        <f t="shared" si="1"/>
        <v>2.9829338260319933E-2</v>
      </c>
      <c r="I20" s="19"/>
      <c r="J20" s="19"/>
    </row>
    <row r="21" spans="1:10" x14ac:dyDescent="0.2">
      <c r="A21" s="2" t="s">
        <v>21</v>
      </c>
      <c r="B21" s="4">
        <v>182.5</v>
      </c>
      <c r="C21" s="5">
        <v>183.4</v>
      </c>
      <c r="D21" s="4">
        <v>182.8</v>
      </c>
      <c r="F21" s="12" t="s">
        <v>50</v>
      </c>
      <c r="G21" s="12" t="s">
        <v>12</v>
      </c>
      <c r="H21" s="13">
        <f t="shared" si="1"/>
        <v>5.2997520299508924E-2</v>
      </c>
      <c r="I21" s="19"/>
      <c r="J21" s="19"/>
    </row>
    <row r="22" spans="1:10" x14ac:dyDescent="0.2">
      <c r="A22" s="2" t="s">
        <v>22</v>
      </c>
      <c r="B22" s="4">
        <v>179.8</v>
      </c>
      <c r="C22" s="5">
        <v>170.1</v>
      </c>
      <c r="D22" s="4">
        <v>175.2</v>
      </c>
      <c r="F22" s="12" t="s">
        <v>50</v>
      </c>
      <c r="G22" s="12" t="s">
        <v>13</v>
      </c>
      <c r="H22" s="13">
        <f t="shared" si="1"/>
        <v>4.2154908348324992E-2</v>
      </c>
      <c r="I22" s="19"/>
      <c r="J22" s="19"/>
    </row>
    <row r="23" spans="1:10" x14ac:dyDescent="0.2">
      <c r="A23" s="2" t="s">
        <v>23</v>
      </c>
      <c r="B23" s="4">
        <v>187.8</v>
      </c>
      <c r="C23" s="5">
        <v>182.2</v>
      </c>
      <c r="D23" s="4">
        <v>185.7</v>
      </c>
      <c r="F23" s="12" t="s">
        <v>50</v>
      </c>
      <c r="G23" s="12" t="s">
        <v>14</v>
      </c>
      <c r="H23" s="13">
        <f t="shared" si="1"/>
        <v>4.7211552486993727E-2</v>
      </c>
      <c r="I23" s="19"/>
      <c r="J23" s="19"/>
    </row>
    <row r="24" spans="1:10" x14ac:dyDescent="0.2">
      <c r="A24" s="2" t="s">
        <v>24</v>
      </c>
      <c r="B24" s="4">
        <v>169.7</v>
      </c>
      <c r="C24" s="5">
        <v>160.4</v>
      </c>
      <c r="D24" s="4">
        <v>164.8</v>
      </c>
      <c r="F24" s="12" t="s">
        <v>16</v>
      </c>
      <c r="G24" s="12" t="s">
        <v>16</v>
      </c>
      <c r="H24" s="13">
        <f t="shared" si="1"/>
        <v>4.8864686147712361E-2</v>
      </c>
      <c r="I24" s="19"/>
      <c r="J24" s="19"/>
    </row>
    <row r="25" spans="1:10" x14ac:dyDescent="0.2">
      <c r="A25" s="2" t="s">
        <v>25</v>
      </c>
      <c r="B25" s="4">
        <v>173.8</v>
      </c>
      <c r="C25" s="5">
        <v>169.2</v>
      </c>
      <c r="D25" s="4">
        <v>171.2</v>
      </c>
      <c r="F25" s="12" t="s">
        <v>19</v>
      </c>
      <c r="G25" s="12" t="s">
        <v>17</v>
      </c>
      <c r="H25" s="13">
        <f t="shared" si="1"/>
        <v>4.5534108037146893E-2</v>
      </c>
      <c r="I25" s="19"/>
      <c r="J25" s="19"/>
    </row>
    <row r="26" spans="1:10" x14ac:dyDescent="0.2">
      <c r="A26" s="2" t="s">
        <v>26</v>
      </c>
      <c r="B26" s="4">
        <v>180.3</v>
      </c>
      <c r="C26" s="5">
        <v>174.8</v>
      </c>
      <c r="D26" s="4">
        <v>177.1</v>
      </c>
      <c r="F26" s="12" t="s">
        <v>19</v>
      </c>
      <c r="G26" s="12" t="s">
        <v>18</v>
      </c>
      <c r="H26" s="13">
        <f t="shared" si="1"/>
        <v>4.3686488063402536E-2</v>
      </c>
      <c r="I26" s="19"/>
      <c r="J26" s="19"/>
    </row>
    <row r="27" spans="1:10" x14ac:dyDescent="0.2">
      <c r="A27" s="2" t="s">
        <v>27</v>
      </c>
      <c r="B27" s="4">
        <v>184.9</v>
      </c>
      <c r="C27" s="5">
        <v>185.6</v>
      </c>
      <c r="D27" s="4">
        <v>185.2</v>
      </c>
      <c r="F27" s="12" t="s">
        <v>20</v>
      </c>
      <c r="G27" s="12" t="s">
        <v>20</v>
      </c>
      <c r="H27" s="13">
        <f t="shared" si="1"/>
        <v>4.2689745709145722E-2</v>
      </c>
      <c r="I27" s="19"/>
      <c r="J27" s="19"/>
    </row>
    <row r="28" spans="1:10" x14ac:dyDescent="0.2">
      <c r="A28" s="9"/>
      <c r="B28" s="10">
        <f>SUM(Table2[Rural])</f>
        <v>3951.7000000000012</v>
      </c>
      <c r="C28" s="11">
        <f>SUM(Table2[Urban])</f>
        <v>4106.8999999999996</v>
      </c>
      <c r="D28" s="10">
        <f>SUM(Table2[Rural+Urban])</f>
        <v>4113.3999999999996</v>
      </c>
      <c r="F28" s="12" t="s">
        <v>21</v>
      </c>
      <c r="G28" s="12" t="s">
        <v>21</v>
      </c>
      <c r="H28" s="13">
        <f t="shared" si="1"/>
        <v>4.4440122526377211E-2</v>
      </c>
      <c r="J28" s="19"/>
    </row>
    <row r="29" spans="1:10" x14ac:dyDescent="0.2">
      <c r="F29" s="12" t="s">
        <v>28</v>
      </c>
      <c r="G29" s="12" t="s">
        <v>22</v>
      </c>
      <c r="H29" s="13">
        <f t="shared" si="1"/>
        <v>4.259250255263286E-2</v>
      </c>
    </row>
    <row r="30" spans="1:10" x14ac:dyDescent="0.2">
      <c r="F30" s="12" t="s">
        <v>28</v>
      </c>
      <c r="G30" s="12" t="s">
        <v>23</v>
      </c>
      <c r="H30" s="13">
        <f t="shared" si="1"/>
        <v>4.5145135411095445E-2</v>
      </c>
    </row>
    <row r="31" spans="1:10" x14ac:dyDescent="0.2">
      <c r="A31" s="17" t="s">
        <v>30</v>
      </c>
      <c r="F31" s="12" t="s">
        <v>28</v>
      </c>
      <c r="G31" s="12" t="s">
        <v>24</v>
      </c>
      <c r="H31" s="13">
        <f t="shared" si="1"/>
        <v>4.0064180483298496E-2</v>
      </c>
    </row>
    <row r="32" spans="1:10" x14ac:dyDescent="0.2">
      <c r="A32" s="17" t="s">
        <v>33</v>
      </c>
      <c r="F32" s="12" t="s">
        <v>28</v>
      </c>
      <c r="G32" s="12" t="s">
        <v>25</v>
      </c>
      <c r="H32" s="13">
        <f t="shared" si="1"/>
        <v>4.1620070987504254E-2</v>
      </c>
    </row>
    <row r="33" spans="1:8" x14ac:dyDescent="0.2">
      <c r="A33" s="17" t="s">
        <v>34</v>
      </c>
      <c r="F33" s="12" t="s">
        <v>28</v>
      </c>
      <c r="G33" s="12" t="s">
        <v>26</v>
      </c>
      <c r="H33" s="13">
        <f t="shared" si="1"/>
        <v>4.305440754606895E-2</v>
      </c>
    </row>
    <row r="34" spans="1:8" x14ac:dyDescent="0.2">
      <c r="F34" s="15" t="s">
        <v>28</v>
      </c>
      <c r="G34" s="15" t="s">
        <v>27</v>
      </c>
      <c r="H34" s="13">
        <f t="shared" si="1"/>
        <v>4.502358146545437E-2</v>
      </c>
    </row>
  </sheetData>
  <mergeCells count="1">
    <mergeCell ref="A1:E1"/>
  </mergeCells>
  <phoneticPr fontId="7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3" name="Drop Down 8">
              <controlPr defaultSize="0" autoLine="0" autoPict="0" altText="">
                <anchor>
                  <from>
                    <xdr:col>5</xdr:col>
                    <xdr:colOff>38100</xdr:colOff>
                    <xdr:row>0</xdr:row>
                    <xdr:rowOff>28575</xdr:rowOff>
                  </from>
                  <to>
                    <xdr:col>6</xdr:col>
                    <xdr:colOff>28575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2B22-8AFF-4750-9BFF-ABC49B1491E0}">
  <dimension ref="A1:Q27"/>
  <sheetViews>
    <sheetView workbookViewId="0">
      <selection sqref="A1:D1"/>
    </sheetView>
  </sheetViews>
  <sheetFormatPr defaultRowHeight="12.75" x14ac:dyDescent="0.2"/>
  <cols>
    <col min="2" max="2" width="16.140625" customWidth="1"/>
    <col min="3" max="3" width="11.28515625" customWidth="1"/>
    <col min="11" max="11" width="13.140625" customWidth="1"/>
    <col min="12" max="12" width="17.7109375" customWidth="1"/>
    <col min="16" max="16" width="17.7109375" customWidth="1"/>
    <col min="17" max="17" width="0.5703125" customWidth="1"/>
  </cols>
  <sheetData>
    <row r="1" spans="1:17" x14ac:dyDescent="0.2">
      <c r="A1" s="117"/>
      <c r="B1" s="117"/>
      <c r="C1" s="117"/>
      <c r="D1" s="117"/>
      <c r="L1" s="120" t="s">
        <v>55</v>
      </c>
      <c r="M1" s="121"/>
      <c r="N1" s="121"/>
      <c r="O1" s="121"/>
      <c r="P1" s="121"/>
      <c r="Q1" s="121"/>
    </row>
    <row r="2" spans="1:17" ht="16.5" x14ac:dyDescent="0.35">
      <c r="A2" s="118" t="s">
        <v>56</v>
      </c>
      <c r="B2" s="119"/>
      <c r="C2" s="119"/>
      <c r="D2" s="19"/>
      <c r="L2" s="121"/>
      <c r="M2" s="121"/>
      <c r="N2" s="121"/>
      <c r="O2" s="121"/>
      <c r="P2" s="121"/>
      <c r="Q2" s="121"/>
    </row>
    <row r="3" spans="1:17" x14ac:dyDescent="0.2">
      <c r="D3" s="19"/>
    </row>
    <row r="4" spans="1:17" x14ac:dyDescent="0.2">
      <c r="A4" s="29" t="s">
        <v>1</v>
      </c>
      <c r="B4" s="29" t="s">
        <v>53</v>
      </c>
      <c r="C4" s="29" t="s">
        <v>54</v>
      </c>
      <c r="D4" s="32" t="s">
        <v>57</v>
      </c>
    </row>
    <row r="5" spans="1:17" x14ac:dyDescent="0.2">
      <c r="A5">
        <v>2016</v>
      </c>
      <c r="B5" s="26">
        <v>128.6</v>
      </c>
      <c r="C5" s="30" t="s">
        <v>47</v>
      </c>
      <c r="D5" s="33" t="e">
        <f t="shared" ref="D5:D12" si="0">IF(C5=MAX(C$6:C$12), C5, NA())</f>
        <v>#N/A</v>
      </c>
    </row>
    <row r="6" spans="1:17" x14ac:dyDescent="0.2">
      <c r="A6">
        <v>2017</v>
      </c>
      <c r="B6">
        <v>131.4</v>
      </c>
      <c r="C6" s="28">
        <f>B6/B5-1</f>
        <v>2.1772939346812015E-2</v>
      </c>
      <c r="D6" s="33" t="e">
        <f t="shared" si="0"/>
        <v>#N/A</v>
      </c>
    </row>
    <row r="7" spans="1:17" x14ac:dyDescent="0.2">
      <c r="A7">
        <v>2018</v>
      </c>
      <c r="B7">
        <v>137.80000000000001</v>
      </c>
      <c r="C7" s="28">
        <f t="shared" ref="C7:C12" si="1">B7/B6-1</f>
        <v>4.8706240487062402E-2</v>
      </c>
      <c r="D7" s="33" t="e">
        <f t="shared" si="0"/>
        <v>#N/A</v>
      </c>
    </row>
    <row r="8" spans="1:17" x14ac:dyDescent="0.2">
      <c r="A8">
        <v>2019</v>
      </c>
      <c r="B8">
        <v>142</v>
      </c>
      <c r="C8" s="28">
        <f t="shared" si="1"/>
        <v>3.0478955007256836E-2</v>
      </c>
      <c r="D8" s="33" t="e">
        <f t="shared" si="0"/>
        <v>#N/A</v>
      </c>
    </row>
    <row r="9" spans="1:17" x14ac:dyDescent="0.2">
      <c r="A9">
        <v>2020</v>
      </c>
      <c r="B9">
        <v>151.80000000000001</v>
      </c>
      <c r="C9" s="28">
        <f t="shared" si="1"/>
        <v>6.9014084507042384E-2</v>
      </c>
      <c r="D9" s="33" t="e">
        <f t="shared" si="0"/>
        <v>#N/A</v>
      </c>
    </row>
    <row r="10" spans="1:17" x14ac:dyDescent="0.2">
      <c r="A10">
        <v>2021</v>
      </c>
      <c r="B10">
        <v>160.4</v>
      </c>
      <c r="C10" s="28">
        <f t="shared" si="1"/>
        <v>5.6653491436100101E-2</v>
      </c>
      <c r="D10" s="33" t="e">
        <f t="shared" si="0"/>
        <v>#N/A</v>
      </c>
    </row>
    <row r="11" spans="1:17" x14ac:dyDescent="0.2">
      <c r="A11">
        <v>2022</v>
      </c>
      <c r="B11">
        <v>171.7</v>
      </c>
      <c r="C11" s="28">
        <f t="shared" si="1"/>
        <v>7.0448877805486143E-2</v>
      </c>
      <c r="D11" s="34">
        <f t="shared" si="0"/>
        <v>7.0448877805486143E-2</v>
      </c>
    </row>
    <row r="12" spans="1:17" x14ac:dyDescent="0.2">
      <c r="A12">
        <v>2023</v>
      </c>
      <c r="B12">
        <v>179.1</v>
      </c>
      <c r="C12" s="28">
        <f t="shared" si="1"/>
        <v>4.3098427489807856E-2</v>
      </c>
      <c r="D12" s="33" t="e">
        <f t="shared" si="0"/>
        <v>#N/A</v>
      </c>
    </row>
    <row r="13" spans="1:17" x14ac:dyDescent="0.2">
      <c r="A13" s="19"/>
      <c r="B13" s="19"/>
      <c r="C13" s="31"/>
      <c r="D13" s="19"/>
    </row>
    <row r="14" spans="1:17" x14ac:dyDescent="0.2">
      <c r="A14" s="19"/>
      <c r="B14" s="19"/>
      <c r="C14" s="31"/>
      <c r="D14" s="19"/>
    </row>
    <row r="15" spans="1:17" x14ac:dyDescent="0.2">
      <c r="A15" s="19"/>
      <c r="B15" s="19"/>
      <c r="C15" s="31"/>
      <c r="D15" s="19"/>
    </row>
    <row r="16" spans="1:17" x14ac:dyDescent="0.2">
      <c r="A16" s="19"/>
      <c r="B16" s="19"/>
      <c r="C16" s="31"/>
      <c r="D16" s="19"/>
    </row>
    <row r="17" spans="1:4" x14ac:dyDescent="0.2">
      <c r="A17" s="19"/>
      <c r="B17" s="19"/>
      <c r="C17" s="31"/>
      <c r="D17" s="19"/>
    </row>
    <row r="18" spans="1:4" x14ac:dyDescent="0.2">
      <c r="A18" s="19"/>
      <c r="B18" s="19"/>
      <c r="C18" s="31"/>
      <c r="D18" s="19"/>
    </row>
    <row r="19" spans="1:4" x14ac:dyDescent="0.2">
      <c r="A19" s="19"/>
      <c r="B19" s="19"/>
      <c r="C19" s="19"/>
      <c r="D19" s="19"/>
    </row>
    <row r="20" spans="1:4" x14ac:dyDescent="0.2">
      <c r="A20" s="19"/>
      <c r="B20" s="19"/>
      <c r="C20" s="19"/>
      <c r="D20" s="19"/>
    </row>
    <row r="21" spans="1:4" x14ac:dyDescent="0.2">
      <c r="A21" s="19"/>
      <c r="B21" s="19"/>
      <c r="C21" s="19"/>
      <c r="D21" s="19"/>
    </row>
    <row r="22" spans="1:4" x14ac:dyDescent="0.2">
      <c r="A22" s="19"/>
      <c r="B22" s="19"/>
      <c r="C22" s="19"/>
      <c r="D22" s="19"/>
    </row>
    <row r="23" spans="1:4" x14ac:dyDescent="0.2">
      <c r="A23" s="19"/>
      <c r="B23" s="19"/>
      <c r="C23" s="19"/>
      <c r="D23" s="19"/>
    </row>
    <row r="24" spans="1:4" x14ac:dyDescent="0.2">
      <c r="A24" s="19"/>
      <c r="B24" s="19"/>
      <c r="C24" s="19"/>
      <c r="D24" s="19"/>
    </row>
    <row r="25" spans="1:4" x14ac:dyDescent="0.2">
      <c r="A25" s="19"/>
      <c r="B25" s="19"/>
      <c r="C25" s="19"/>
      <c r="D25" s="19"/>
    </row>
    <row r="26" spans="1:4" x14ac:dyDescent="0.2">
      <c r="D26" s="19"/>
    </row>
    <row r="27" spans="1:4" x14ac:dyDescent="0.2">
      <c r="D27" s="19"/>
    </row>
  </sheetData>
  <mergeCells count="3">
    <mergeCell ref="A1:D1"/>
    <mergeCell ref="A2:C2"/>
    <mergeCell ref="L1:Q2"/>
  </mergeCells>
  <pageMargins left="0.7" right="0.7" top="0.75" bottom="0.75" header="0.3" footer="0.3"/>
  <ignoredErrors>
    <ignoredError sqref="C5" calculatedColumn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A52F-C72F-4422-9D1E-575EE480891C}">
  <dimension ref="A1:J47"/>
  <sheetViews>
    <sheetView workbookViewId="0">
      <selection activeCell="N19" sqref="N19"/>
    </sheetView>
  </sheetViews>
  <sheetFormatPr defaultRowHeight="12.75" x14ac:dyDescent="0.2"/>
  <cols>
    <col min="1" max="1" width="22" customWidth="1"/>
    <col min="2" max="2" width="14.5703125" customWidth="1"/>
    <col min="3" max="3" width="13.42578125" customWidth="1"/>
    <col min="4" max="4" width="14.5703125" customWidth="1"/>
    <col min="5" max="5" width="16.5703125" customWidth="1"/>
    <col min="6" max="6" width="14.5703125" customWidth="1"/>
    <col min="7" max="7" width="12.5703125" customWidth="1"/>
    <col min="8" max="8" width="12.85546875" customWidth="1"/>
    <col min="9" max="9" width="14.5703125" customWidth="1"/>
    <col min="10" max="10" width="13.5703125" customWidth="1"/>
  </cols>
  <sheetData>
    <row r="1" spans="1:4" x14ac:dyDescent="0.2">
      <c r="A1" s="40" t="s">
        <v>2</v>
      </c>
      <c r="B1" s="40" t="s">
        <v>30</v>
      </c>
      <c r="C1" s="40" t="s">
        <v>33</v>
      </c>
      <c r="D1" s="40" t="s">
        <v>34</v>
      </c>
    </row>
    <row r="2" spans="1:4" x14ac:dyDescent="0.2">
      <c r="A2" s="41">
        <v>44713</v>
      </c>
      <c r="B2">
        <f>'Cleaned Data'!P338</f>
        <v>172.4</v>
      </c>
      <c r="C2">
        <f>'Cleaned Data'!P339</f>
        <v>179.3</v>
      </c>
      <c r="D2">
        <f>'Cleaned Data'!P340</f>
        <v>174.9</v>
      </c>
    </row>
    <row r="3" spans="1:4" x14ac:dyDescent="0.2">
      <c r="A3" s="41">
        <v>44743</v>
      </c>
      <c r="B3">
        <f>'Cleaned Data'!P341</f>
        <v>172.5</v>
      </c>
      <c r="C3">
        <f>'Cleaned Data'!P342</f>
        <v>179.4</v>
      </c>
      <c r="D3">
        <f>'Cleaned Data'!P343</f>
        <v>175</v>
      </c>
    </row>
    <row r="4" spans="1:4" x14ac:dyDescent="0.2">
      <c r="A4" s="41">
        <v>44774</v>
      </c>
      <c r="B4">
        <f>'Cleaned Data'!P344</f>
        <v>173.9</v>
      </c>
      <c r="C4">
        <f>'Cleaned Data'!P345</f>
        <v>180.4</v>
      </c>
      <c r="D4">
        <f>'Cleaned Data'!P346</f>
        <v>176.3</v>
      </c>
    </row>
    <row r="5" spans="1:4" x14ac:dyDescent="0.2">
      <c r="A5" s="41">
        <v>44805</v>
      </c>
      <c r="B5">
        <f>'Cleaned Data'!P347</f>
        <v>175.5</v>
      </c>
      <c r="C5">
        <f>'Cleaned Data'!P348</f>
        <v>181.8</v>
      </c>
      <c r="D5">
        <f>'Cleaned Data'!P349</f>
        <v>177.8</v>
      </c>
    </row>
    <row r="6" spans="1:4" x14ac:dyDescent="0.2">
      <c r="A6" s="41">
        <v>44835</v>
      </c>
      <c r="B6">
        <f>'Cleaned Data'!P350</f>
        <v>177.4</v>
      </c>
      <c r="C6">
        <f>'Cleaned Data'!P351</f>
        <v>183.3</v>
      </c>
      <c r="D6">
        <f>'Cleaned Data'!P352</f>
        <v>179.6</v>
      </c>
    </row>
    <row r="7" spans="1:4" x14ac:dyDescent="0.2">
      <c r="A7" s="41">
        <v>44866</v>
      </c>
      <c r="B7">
        <f>'Cleaned Data'!P353</f>
        <v>176.6</v>
      </c>
      <c r="C7">
        <f>'Cleaned Data'!P354</f>
        <v>181.3</v>
      </c>
      <c r="D7">
        <f>'Cleaned Data'!P355</f>
        <v>178.3</v>
      </c>
    </row>
    <row r="8" spans="1:4" x14ac:dyDescent="0.2">
      <c r="A8" s="41">
        <v>44896</v>
      </c>
      <c r="B8">
        <f>'Cleaned Data'!P356</f>
        <v>174.4</v>
      </c>
      <c r="C8">
        <f>'Cleaned Data'!P357</f>
        <v>178.6</v>
      </c>
      <c r="D8">
        <f>'Cleaned Data'!P358</f>
        <v>175.9</v>
      </c>
    </row>
    <row r="9" spans="1:4" x14ac:dyDescent="0.2">
      <c r="A9" s="41">
        <v>44927</v>
      </c>
      <c r="B9">
        <f>'Cleaned Data'!P359</f>
        <v>175</v>
      </c>
      <c r="C9">
        <f>'Cleaned Data'!P360</f>
        <v>179.5</v>
      </c>
      <c r="D9">
        <f>'Cleaned Data'!P361</f>
        <v>176.7</v>
      </c>
    </row>
    <row r="10" spans="1:4" x14ac:dyDescent="0.2">
      <c r="A10" s="41">
        <v>44958</v>
      </c>
      <c r="B10">
        <f>'Cleaned Data'!P362</f>
        <v>174.8</v>
      </c>
      <c r="C10">
        <f>'Cleaned Data'!P363</f>
        <v>180.7</v>
      </c>
      <c r="D10">
        <f>'Cleaned Data'!P364</f>
        <v>177</v>
      </c>
    </row>
    <row r="11" spans="1:4" x14ac:dyDescent="0.2">
      <c r="A11" s="41">
        <v>44986</v>
      </c>
      <c r="B11">
        <f>'Cleaned Data'!P365</f>
        <v>174.8</v>
      </c>
      <c r="C11">
        <f>'Cleaned Data'!P366</f>
        <v>180.8</v>
      </c>
      <c r="D11">
        <f>'Cleaned Data'!P367</f>
        <v>177</v>
      </c>
    </row>
    <row r="12" spans="1:4" x14ac:dyDescent="0.2">
      <c r="A12" s="41">
        <v>45017</v>
      </c>
      <c r="B12">
        <f>'Cleaned Data'!P368</f>
        <v>175.5</v>
      </c>
      <c r="C12">
        <f>'Cleaned Data'!P369</f>
        <v>182.1</v>
      </c>
      <c r="D12">
        <f>'Cleaned Data'!P370</f>
        <v>177.9</v>
      </c>
    </row>
    <row r="13" spans="1:4" x14ac:dyDescent="0.2">
      <c r="A13" s="41">
        <v>45047</v>
      </c>
      <c r="B13">
        <f>'Cleaned Data'!P371</f>
        <v>176.8</v>
      </c>
      <c r="C13">
        <f>'Cleaned Data'!P372</f>
        <v>183.1</v>
      </c>
      <c r="D13">
        <f>'Cleaned Data'!P373</f>
        <v>179.1</v>
      </c>
    </row>
    <row r="14" spans="1:4" x14ac:dyDescent="0.2">
      <c r="A14" s="19"/>
      <c r="B14" s="19"/>
      <c r="C14" s="19"/>
      <c r="D14" s="19"/>
    </row>
    <row r="15" spans="1:4" x14ac:dyDescent="0.2">
      <c r="A15" s="122" t="s">
        <v>58</v>
      </c>
      <c r="B15" s="123"/>
      <c r="C15" s="123"/>
      <c r="D15" s="124"/>
    </row>
    <row r="16" spans="1:4" x14ac:dyDescent="0.2">
      <c r="A16" s="37" t="s">
        <v>2</v>
      </c>
      <c r="B16" s="35" t="s">
        <v>30</v>
      </c>
      <c r="C16" s="35" t="s">
        <v>33</v>
      </c>
      <c r="D16" s="36" t="s">
        <v>34</v>
      </c>
    </row>
    <row r="17" spans="1:4" x14ac:dyDescent="0.2">
      <c r="A17" s="38">
        <v>44713</v>
      </c>
      <c r="B17" s="28">
        <f>(B2/'Cleaned Data'!P335) -1</f>
        <v>9.3676814988290502E-3</v>
      </c>
      <c r="C17" s="28">
        <f>(C2/'Cleaned Data'!P336) -1</f>
        <v>1.0140845070422566E-2</v>
      </c>
      <c r="D17" s="28">
        <f>(D2/'Cleaned Data'!P337) -1</f>
        <v>9.2325447201384581E-3</v>
      </c>
    </row>
    <row r="18" spans="1:4" x14ac:dyDescent="0.2">
      <c r="A18" s="39">
        <v>44743</v>
      </c>
      <c r="B18" s="58">
        <f>B3/B2 -1</f>
        <v>5.8004640371223104E-4</v>
      </c>
      <c r="C18" s="58">
        <f t="shared" ref="B18:D28" si="0">C3/C2 -1</f>
        <v>5.5772448410484898E-4</v>
      </c>
      <c r="D18" s="58">
        <f t="shared" si="0"/>
        <v>5.7175528873631976E-4</v>
      </c>
    </row>
    <row r="19" spans="1:4" x14ac:dyDescent="0.2">
      <c r="A19" s="38">
        <v>44774</v>
      </c>
      <c r="B19" s="28">
        <f t="shared" si="0"/>
        <v>8.1159420289855788E-3</v>
      </c>
      <c r="C19" s="28">
        <f t="shared" si="0"/>
        <v>5.5741360089185399E-3</v>
      </c>
      <c r="D19" s="28">
        <f t="shared" si="0"/>
        <v>7.4285714285715621E-3</v>
      </c>
    </row>
    <row r="20" spans="1:4" x14ac:dyDescent="0.2">
      <c r="A20" s="39">
        <v>44805</v>
      </c>
      <c r="B20" s="59">
        <f t="shared" si="0"/>
        <v>9.2006900517538348E-3</v>
      </c>
      <c r="C20" s="59">
        <f t="shared" si="0"/>
        <v>7.7605321507761005E-3</v>
      </c>
      <c r="D20" s="59">
        <f t="shared" si="0"/>
        <v>8.5082246171299669E-3</v>
      </c>
    </row>
    <row r="21" spans="1:4" x14ac:dyDescent="0.2">
      <c r="A21" s="38">
        <v>44835</v>
      </c>
      <c r="B21" s="28">
        <f t="shared" si="0"/>
        <v>1.0826210826210936E-2</v>
      </c>
      <c r="C21" s="28">
        <f t="shared" si="0"/>
        <v>8.2508250825081841E-3</v>
      </c>
      <c r="D21" s="28">
        <f t="shared" si="0"/>
        <v>1.0123734533183271E-2</v>
      </c>
    </row>
    <row r="22" spans="1:4" x14ac:dyDescent="0.2">
      <c r="A22" s="39">
        <v>44866</v>
      </c>
      <c r="B22" s="59">
        <f t="shared" si="0"/>
        <v>-4.5095828635851598E-3</v>
      </c>
      <c r="C22" s="59">
        <f t="shared" si="0"/>
        <v>-1.0911074740861948E-2</v>
      </c>
      <c r="D22" s="59">
        <f t="shared" si="0"/>
        <v>-7.2383073496657957E-3</v>
      </c>
    </row>
    <row r="23" spans="1:4" x14ac:dyDescent="0.2">
      <c r="A23" s="38">
        <v>44896</v>
      </c>
      <c r="B23" s="28">
        <f t="shared" si="0"/>
        <v>-1.2457531143827749E-2</v>
      </c>
      <c r="C23" s="28">
        <f t="shared" si="0"/>
        <v>-1.4892443463872085E-2</v>
      </c>
      <c r="D23" s="28">
        <f t="shared" si="0"/>
        <v>-1.346045989904654E-2</v>
      </c>
    </row>
    <row r="24" spans="1:4" x14ac:dyDescent="0.2">
      <c r="A24" s="39">
        <v>44927</v>
      </c>
      <c r="B24" s="59">
        <f t="shared" si="0"/>
        <v>3.4403669724769603E-3</v>
      </c>
      <c r="C24" s="59">
        <f t="shared" si="0"/>
        <v>5.0391937290032995E-3</v>
      </c>
      <c r="D24" s="59">
        <f t="shared" si="0"/>
        <v>4.5480386583285348E-3</v>
      </c>
    </row>
    <row r="25" spans="1:4" x14ac:dyDescent="0.2">
      <c r="A25" s="38">
        <v>44958</v>
      </c>
      <c r="B25" s="28">
        <f t="shared" si="0"/>
        <v>-1.1428571428571122E-3</v>
      </c>
      <c r="C25" s="28">
        <f t="shared" si="0"/>
        <v>6.6852367688021719E-3</v>
      </c>
      <c r="D25" s="28">
        <f t="shared" si="0"/>
        <v>1.6977928692700761E-3</v>
      </c>
    </row>
    <row r="26" spans="1:4" x14ac:dyDescent="0.2">
      <c r="A26" s="39">
        <v>44986</v>
      </c>
      <c r="B26" s="59">
        <f t="shared" si="0"/>
        <v>0</v>
      </c>
      <c r="C26" s="59">
        <f t="shared" si="0"/>
        <v>5.5340343110144019E-4</v>
      </c>
      <c r="D26" s="59">
        <f t="shared" si="0"/>
        <v>0</v>
      </c>
    </row>
    <row r="27" spans="1:4" x14ac:dyDescent="0.2">
      <c r="A27" s="38">
        <v>45017</v>
      </c>
      <c r="B27" s="28">
        <f t="shared" si="0"/>
        <v>4.004576659038861E-3</v>
      </c>
      <c r="C27" s="28">
        <f t="shared" si="0"/>
        <v>7.1902654867255222E-3</v>
      </c>
      <c r="D27" s="28">
        <f t="shared" si="0"/>
        <v>5.0847457627118953E-3</v>
      </c>
    </row>
    <row r="28" spans="1:4" x14ac:dyDescent="0.2">
      <c r="A28" s="39">
        <v>45047</v>
      </c>
      <c r="B28" s="59">
        <f t="shared" si="0"/>
        <v>7.4074074074075291E-3</v>
      </c>
      <c r="C28" s="59">
        <f t="shared" si="0"/>
        <v>5.4914881933003645E-3</v>
      </c>
      <c r="D28" s="59">
        <f t="shared" si="0"/>
        <v>6.7453625632376557E-3</v>
      </c>
    </row>
    <row r="33" spans="1:10" x14ac:dyDescent="0.2">
      <c r="B33" s="125" t="s">
        <v>30</v>
      </c>
      <c r="C33" s="126"/>
      <c r="D33" s="127"/>
      <c r="E33" s="125" t="s">
        <v>33</v>
      </c>
      <c r="F33" s="126"/>
      <c r="G33" s="127"/>
      <c r="H33" s="125" t="s">
        <v>34</v>
      </c>
      <c r="I33" s="126"/>
      <c r="J33" s="127"/>
    </row>
    <row r="34" spans="1:10" x14ac:dyDescent="0.2">
      <c r="A34" s="45" t="s">
        <v>48</v>
      </c>
      <c r="B34" s="48">
        <v>44713</v>
      </c>
      <c r="C34" s="49">
        <v>45047</v>
      </c>
      <c r="D34" s="50" t="s">
        <v>59</v>
      </c>
      <c r="E34" s="48">
        <v>44713</v>
      </c>
      <c r="F34" s="49">
        <v>45047</v>
      </c>
      <c r="G34" s="50" t="s">
        <v>59</v>
      </c>
      <c r="H34" s="48">
        <v>44713</v>
      </c>
      <c r="I34" s="49">
        <v>45047</v>
      </c>
      <c r="J34" s="50" t="s">
        <v>59</v>
      </c>
    </row>
    <row r="35" spans="1:10" x14ac:dyDescent="0.2">
      <c r="A35" s="43" t="s">
        <v>3</v>
      </c>
      <c r="B35" s="56">
        <v>153.80000000000001</v>
      </c>
      <c r="C35" s="44">
        <v>173.2</v>
      </c>
      <c r="D35" s="47">
        <f>C35-B35</f>
        <v>19.399999999999977</v>
      </c>
      <c r="E35" s="46">
        <v>157.5</v>
      </c>
      <c r="F35" s="42">
        <v>174.7</v>
      </c>
      <c r="G35" s="47">
        <f>F35-E35</f>
        <v>17.199999999999989</v>
      </c>
      <c r="H35" s="56">
        <v>155</v>
      </c>
      <c r="I35" s="44">
        <v>173.7</v>
      </c>
      <c r="J35" s="47">
        <f>I35-H35</f>
        <v>18.699999999999989</v>
      </c>
    </row>
    <row r="36" spans="1:10" x14ac:dyDescent="0.2">
      <c r="A36" s="43" t="s">
        <v>4</v>
      </c>
      <c r="B36" s="56">
        <v>217.2</v>
      </c>
      <c r="C36" s="44">
        <v>211.5</v>
      </c>
      <c r="D36" s="47">
        <f t="shared" ref="D36:D46" si="1">C36-B36</f>
        <v>-5.6999999999999886</v>
      </c>
      <c r="E36" s="46">
        <v>223.4</v>
      </c>
      <c r="F36" s="42">
        <v>219.4</v>
      </c>
      <c r="G36" s="47">
        <f t="shared" ref="G36:G46" si="2">F36-E36</f>
        <v>-4</v>
      </c>
      <c r="H36" s="56">
        <v>219.4</v>
      </c>
      <c r="I36" s="44">
        <v>214.3</v>
      </c>
      <c r="J36" s="47">
        <f t="shared" ref="J36:J46" si="3">I36-H36</f>
        <v>-5.0999999999999943</v>
      </c>
    </row>
    <row r="37" spans="1:10" x14ac:dyDescent="0.2">
      <c r="A37" s="43" t="s">
        <v>5</v>
      </c>
      <c r="B37" s="56">
        <v>169.6</v>
      </c>
      <c r="C37" s="44">
        <v>171</v>
      </c>
      <c r="D37" s="47">
        <f t="shared" si="1"/>
        <v>1.4000000000000057</v>
      </c>
      <c r="E37" s="46">
        <v>172.8</v>
      </c>
      <c r="F37" s="42">
        <v>176.7</v>
      </c>
      <c r="G37" s="47">
        <f t="shared" si="2"/>
        <v>3.8999999999999773</v>
      </c>
      <c r="H37" s="56">
        <v>170.8</v>
      </c>
      <c r="I37" s="44">
        <v>173.2</v>
      </c>
      <c r="J37" s="47">
        <f t="shared" si="3"/>
        <v>2.3999999999999773</v>
      </c>
    </row>
    <row r="38" spans="1:10" x14ac:dyDescent="0.2">
      <c r="A38" s="43" t="s">
        <v>6</v>
      </c>
      <c r="B38" s="56">
        <v>165.4</v>
      </c>
      <c r="C38" s="44">
        <v>179.6</v>
      </c>
      <c r="D38" s="47">
        <f t="shared" si="1"/>
        <v>14.199999999999989</v>
      </c>
      <c r="E38" s="46">
        <v>166.4</v>
      </c>
      <c r="F38" s="42">
        <v>179.4</v>
      </c>
      <c r="G38" s="47">
        <f t="shared" si="2"/>
        <v>13</v>
      </c>
      <c r="H38" s="56">
        <v>165.8</v>
      </c>
      <c r="I38" s="44">
        <v>179.5</v>
      </c>
      <c r="J38" s="47">
        <f t="shared" si="3"/>
        <v>13.699999999999989</v>
      </c>
    </row>
    <row r="39" spans="1:10" x14ac:dyDescent="0.2">
      <c r="A39" s="43" t="s">
        <v>7</v>
      </c>
      <c r="B39" s="56">
        <v>208.1</v>
      </c>
      <c r="C39" s="44">
        <v>173.3</v>
      </c>
      <c r="D39" s="47">
        <f t="shared" si="1"/>
        <v>-34.799999999999983</v>
      </c>
      <c r="E39" s="46">
        <v>188.6</v>
      </c>
      <c r="F39" s="42">
        <v>164.4</v>
      </c>
      <c r="G39" s="47">
        <f t="shared" si="2"/>
        <v>-24.199999999999989</v>
      </c>
      <c r="H39" s="56">
        <v>200.9</v>
      </c>
      <c r="I39" s="44">
        <v>170</v>
      </c>
      <c r="J39" s="47">
        <f t="shared" si="3"/>
        <v>-30.900000000000006</v>
      </c>
    </row>
    <row r="40" spans="1:10" x14ac:dyDescent="0.2">
      <c r="A40" s="43" t="s">
        <v>8</v>
      </c>
      <c r="B40" s="56">
        <v>165.8</v>
      </c>
      <c r="C40" s="44">
        <v>169</v>
      </c>
      <c r="D40" s="47">
        <f t="shared" si="1"/>
        <v>3.1999999999999886</v>
      </c>
      <c r="E40" s="46">
        <v>174.1</v>
      </c>
      <c r="F40" s="42">
        <v>175.8</v>
      </c>
      <c r="G40" s="47">
        <f t="shared" si="2"/>
        <v>1.7000000000000171</v>
      </c>
      <c r="H40" s="56">
        <v>169.7</v>
      </c>
      <c r="I40" s="44">
        <v>172.2</v>
      </c>
      <c r="J40" s="47">
        <f t="shared" si="3"/>
        <v>2.5</v>
      </c>
    </row>
    <row r="41" spans="1:10" x14ac:dyDescent="0.2">
      <c r="A41" s="43" t="s">
        <v>9</v>
      </c>
      <c r="B41" s="56">
        <v>167.3</v>
      </c>
      <c r="C41" s="44">
        <v>148.69999999999999</v>
      </c>
      <c r="D41" s="47">
        <f t="shared" si="1"/>
        <v>-18.600000000000023</v>
      </c>
      <c r="E41" s="46">
        <v>211.5</v>
      </c>
      <c r="F41" s="42">
        <v>185</v>
      </c>
      <c r="G41" s="47">
        <f t="shared" si="2"/>
        <v>-26.5</v>
      </c>
      <c r="H41" s="56">
        <v>182.3</v>
      </c>
      <c r="I41" s="44">
        <v>161</v>
      </c>
      <c r="J41" s="47">
        <f t="shared" si="3"/>
        <v>-21.300000000000011</v>
      </c>
    </row>
    <row r="42" spans="1:10" x14ac:dyDescent="0.2">
      <c r="A42" s="43" t="s">
        <v>10</v>
      </c>
      <c r="B42" s="56">
        <v>164.6</v>
      </c>
      <c r="C42" s="44">
        <v>174.9</v>
      </c>
      <c r="D42" s="47">
        <f t="shared" si="1"/>
        <v>10.300000000000011</v>
      </c>
      <c r="E42" s="46">
        <v>163.6</v>
      </c>
      <c r="F42" s="42">
        <v>176.9</v>
      </c>
      <c r="G42" s="47">
        <f t="shared" si="2"/>
        <v>13.300000000000011</v>
      </c>
      <c r="H42" s="56">
        <v>164.3</v>
      </c>
      <c r="I42" s="44">
        <v>175.6</v>
      </c>
      <c r="J42" s="47">
        <f t="shared" si="3"/>
        <v>11.299999999999983</v>
      </c>
    </row>
    <row r="43" spans="1:10" x14ac:dyDescent="0.2">
      <c r="A43" s="43" t="s">
        <v>11</v>
      </c>
      <c r="B43" s="56">
        <v>119.1</v>
      </c>
      <c r="C43" s="44">
        <v>121.9</v>
      </c>
      <c r="D43" s="47">
        <f t="shared" si="1"/>
        <v>2.8000000000000114</v>
      </c>
      <c r="E43" s="46">
        <v>121.4</v>
      </c>
      <c r="F43" s="42">
        <v>124.2</v>
      </c>
      <c r="G43" s="47">
        <f t="shared" si="2"/>
        <v>2.7999999999999972</v>
      </c>
      <c r="H43" s="56">
        <v>119.9</v>
      </c>
      <c r="I43" s="44">
        <v>122.7</v>
      </c>
      <c r="J43" s="47">
        <f t="shared" si="3"/>
        <v>2.7999999999999972</v>
      </c>
    </row>
    <row r="44" spans="1:10" x14ac:dyDescent="0.2">
      <c r="A44" s="43" t="s">
        <v>12</v>
      </c>
      <c r="B44" s="56">
        <v>188.9</v>
      </c>
      <c r="C44" s="44">
        <v>221</v>
      </c>
      <c r="D44" s="47">
        <f t="shared" si="1"/>
        <v>32.099999999999994</v>
      </c>
      <c r="E44" s="46">
        <v>183.5</v>
      </c>
      <c r="F44" s="42">
        <v>211.9</v>
      </c>
      <c r="G44" s="47">
        <f t="shared" si="2"/>
        <v>28.400000000000006</v>
      </c>
      <c r="H44" s="56">
        <v>187.1</v>
      </c>
      <c r="I44" s="44">
        <v>218</v>
      </c>
      <c r="J44" s="47">
        <f t="shared" si="3"/>
        <v>30.900000000000006</v>
      </c>
    </row>
    <row r="45" spans="1:10" x14ac:dyDescent="0.2">
      <c r="A45" s="43" t="s">
        <v>13</v>
      </c>
      <c r="B45" s="56">
        <v>174.2</v>
      </c>
      <c r="C45" s="44">
        <v>178.7</v>
      </c>
      <c r="D45" s="47">
        <f t="shared" si="1"/>
        <v>4.5</v>
      </c>
      <c r="E45" s="46">
        <v>159.1</v>
      </c>
      <c r="F45" s="42">
        <v>165.9</v>
      </c>
      <c r="G45" s="47">
        <f t="shared" si="2"/>
        <v>6.8000000000000114</v>
      </c>
      <c r="H45" s="56">
        <v>167.9</v>
      </c>
      <c r="I45" s="44">
        <v>173.4</v>
      </c>
      <c r="J45" s="47">
        <f t="shared" si="3"/>
        <v>5.5</v>
      </c>
    </row>
    <row r="46" spans="1:10" ht="13.5" thickBot="1" x14ac:dyDescent="0.25">
      <c r="A46" s="43" t="s">
        <v>14</v>
      </c>
      <c r="B46" s="57">
        <v>181.9</v>
      </c>
      <c r="C46" s="52">
        <v>191.1</v>
      </c>
      <c r="D46" s="53">
        <f t="shared" si="1"/>
        <v>9.1999999999999886</v>
      </c>
      <c r="E46" s="54">
        <v>186.3</v>
      </c>
      <c r="F46" s="55">
        <v>197.7</v>
      </c>
      <c r="G46" s="53">
        <f t="shared" si="2"/>
        <v>11.399999999999977</v>
      </c>
      <c r="H46" s="57">
        <v>183.9</v>
      </c>
      <c r="I46" s="52">
        <v>194.2</v>
      </c>
      <c r="J46" s="53">
        <f t="shared" si="3"/>
        <v>10.299999999999983</v>
      </c>
    </row>
    <row r="47" spans="1:10" ht="13.5" thickBot="1" x14ac:dyDescent="0.25">
      <c r="A47" s="51" t="s">
        <v>60</v>
      </c>
      <c r="B47" s="128" t="str">
        <f>INDEX($A$35:A46, MATCH(MAX(D35:D46), D35:D46, 0))</f>
        <v>Spices</v>
      </c>
      <c r="C47" s="129"/>
      <c r="D47" s="130"/>
      <c r="E47" s="128" t="str">
        <f>INDEX($A$35:$A$46, MATCH(MAX(G35:G46), G35:G46, 0))</f>
        <v>Spices</v>
      </c>
      <c r="F47" s="129"/>
      <c r="G47" s="130"/>
      <c r="H47" s="128" t="str">
        <f>INDEX($A$35:$A$46, MATCH(MAX(J35:J46), J35:J46, 0))</f>
        <v>Spices</v>
      </c>
      <c r="I47" s="129"/>
      <c r="J47" s="130"/>
    </row>
  </sheetData>
  <mergeCells count="7">
    <mergeCell ref="A15:D15"/>
    <mergeCell ref="B33:D33"/>
    <mergeCell ref="E33:G33"/>
    <mergeCell ref="H33:J33"/>
    <mergeCell ref="B47:D47"/>
    <mergeCell ref="E47:G47"/>
    <mergeCell ref="H47:J47"/>
  </mergeCells>
  <conditionalFormatting sqref="B17:B28">
    <cfRule type="top10" dxfId="5" priority="5" bottom="1" rank="1"/>
    <cfRule type="top10" dxfId="4" priority="6" rank="1"/>
  </conditionalFormatting>
  <conditionalFormatting sqref="C17:C28">
    <cfRule type="top10" dxfId="3" priority="3" bottom="1" rank="1"/>
    <cfRule type="top10" dxfId="2" priority="4" rank="1"/>
  </conditionalFormatting>
  <conditionalFormatting sqref="D17:D28">
    <cfRule type="top10" dxfId="1" priority="1" bottom="1" rank="1"/>
    <cfRule type="top10" dxfId="0" priority="2" rank="1"/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2D3F-A745-4ACE-8473-30C12E98972E}">
  <dimension ref="A1:AC58"/>
  <sheetViews>
    <sheetView workbookViewId="0">
      <selection activeCell="M27" sqref="M27"/>
    </sheetView>
  </sheetViews>
  <sheetFormatPr defaultRowHeight="12.75" x14ac:dyDescent="0.2"/>
  <cols>
    <col min="1" max="1" width="6.85546875" customWidth="1"/>
    <col min="3" max="3" width="12.28515625" customWidth="1"/>
    <col min="4" max="4" width="9.28515625" customWidth="1"/>
    <col min="5" max="5" width="12.28515625" customWidth="1"/>
    <col min="6" max="6" width="19.140625" customWidth="1"/>
    <col min="8" max="8" width="17.5703125" customWidth="1"/>
    <col min="9" max="9" width="14.85546875" customWidth="1"/>
    <col min="10" max="10" width="10" customWidth="1"/>
    <col min="11" max="11" width="16.140625" customWidth="1"/>
    <col min="12" max="12" width="15.42578125" customWidth="1"/>
  </cols>
  <sheetData>
    <row r="1" spans="1:29" x14ac:dyDescent="0.2">
      <c r="A1" t="s">
        <v>61</v>
      </c>
    </row>
    <row r="3" spans="1:29" x14ac:dyDescent="0.2">
      <c r="C3" s="135" t="s">
        <v>15</v>
      </c>
      <c r="D3" s="135"/>
      <c r="E3" s="135"/>
      <c r="F3" s="135" t="s">
        <v>20</v>
      </c>
      <c r="G3" s="135"/>
      <c r="H3" s="135"/>
      <c r="I3" s="135" t="s">
        <v>21</v>
      </c>
      <c r="J3" s="135"/>
      <c r="K3" s="135"/>
      <c r="L3" s="135" t="s">
        <v>22</v>
      </c>
      <c r="M3" s="135"/>
      <c r="N3" s="135"/>
      <c r="O3" s="135" t="s">
        <v>23</v>
      </c>
      <c r="P3" s="135"/>
      <c r="Q3" s="135"/>
      <c r="R3" s="135" t="s">
        <v>24</v>
      </c>
      <c r="S3" s="135"/>
      <c r="T3" s="135"/>
      <c r="U3" s="135" t="s">
        <v>25</v>
      </c>
      <c r="V3" s="135"/>
      <c r="W3" s="135"/>
      <c r="X3" s="135" t="s">
        <v>26</v>
      </c>
      <c r="Y3" s="135"/>
      <c r="Z3" s="135"/>
      <c r="AA3" s="135" t="s">
        <v>27</v>
      </c>
      <c r="AB3" s="135"/>
      <c r="AC3" s="135"/>
    </row>
    <row r="4" spans="1:29" x14ac:dyDescent="0.2">
      <c r="B4" s="66" t="s">
        <v>2</v>
      </c>
      <c r="C4" s="64" t="s">
        <v>30</v>
      </c>
      <c r="D4" s="64" t="s">
        <v>33</v>
      </c>
      <c r="E4" s="64" t="s">
        <v>34</v>
      </c>
      <c r="F4" s="64" t="s">
        <v>30</v>
      </c>
      <c r="G4" s="64" t="s">
        <v>33</v>
      </c>
      <c r="H4" s="64" t="s">
        <v>34</v>
      </c>
      <c r="I4" s="64" t="s">
        <v>30</v>
      </c>
      <c r="J4" s="64" t="s">
        <v>33</v>
      </c>
      <c r="K4" s="64" t="s">
        <v>34</v>
      </c>
      <c r="L4" s="64" t="s">
        <v>30</v>
      </c>
      <c r="M4" s="64" t="s">
        <v>33</v>
      </c>
      <c r="N4" s="64" t="s">
        <v>34</v>
      </c>
      <c r="O4" s="64" t="s">
        <v>30</v>
      </c>
      <c r="P4" s="64" t="s">
        <v>33</v>
      </c>
      <c r="Q4" s="64" t="s">
        <v>34</v>
      </c>
      <c r="R4" s="64" t="s">
        <v>30</v>
      </c>
      <c r="S4" s="64" t="s">
        <v>33</v>
      </c>
      <c r="T4" s="64" t="s">
        <v>34</v>
      </c>
      <c r="U4" s="64" t="s">
        <v>30</v>
      </c>
      <c r="V4" s="64" t="s">
        <v>33</v>
      </c>
      <c r="W4" s="64" t="s">
        <v>34</v>
      </c>
      <c r="X4" s="64" t="s">
        <v>30</v>
      </c>
      <c r="Y4" s="64" t="s">
        <v>33</v>
      </c>
      <c r="Z4" s="64" t="s">
        <v>34</v>
      </c>
      <c r="AA4" s="64" t="s">
        <v>30</v>
      </c>
      <c r="AB4" s="64" t="s">
        <v>33</v>
      </c>
      <c r="AC4" s="64" t="s">
        <v>34</v>
      </c>
    </row>
    <row r="5" spans="1:29" x14ac:dyDescent="0.2">
      <c r="A5" s="131" t="s">
        <v>62</v>
      </c>
      <c r="B5" s="65">
        <v>43800</v>
      </c>
      <c r="C5" s="67">
        <v>154.30000000000001</v>
      </c>
      <c r="D5" s="60">
        <v>156.30000000000001</v>
      </c>
      <c r="E5" s="68">
        <v>155</v>
      </c>
      <c r="F5" s="84" t="s">
        <v>32</v>
      </c>
      <c r="G5" s="60">
        <v>152.80000000000001</v>
      </c>
      <c r="H5" s="68">
        <v>152.80000000000001</v>
      </c>
      <c r="I5" s="67">
        <v>149.9</v>
      </c>
      <c r="J5" s="60">
        <v>133.6</v>
      </c>
      <c r="K5" s="68">
        <v>143.69999999999999</v>
      </c>
      <c r="L5" s="67">
        <v>151.19999999999999</v>
      </c>
      <c r="M5" s="60">
        <v>139.80000000000001</v>
      </c>
      <c r="N5" s="68">
        <v>145.80000000000001</v>
      </c>
      <c r="O5" s="67">
        <v>154.80000000000001</v>
      </c>
      <c r="P5" s="60">
        <v>143.19999999999999</v>
      </c>
      <c r="Q5" s="68">
        <v>150.4</v>
      </c>
      <c r="R5" s="71">
        <v>135</v>
      </c>
      <c r="S5" s="60">
        <v>125.2</v>
      </c>
      <c r="T5" s="68">
        <v>129.80000000000001</v>
      </c>
      <c r="U5" s="67">
        <v>149.5</v>
      </c>
      <c r="V5" s="60">
        <v>136.80000000000001</v>
      </c>
      <c r="W5" s="68">
        <v>142.30000000000001</v>
      </c>
      <c r="X5" s="67">
        <v>161.1</v>
      </c>
      <c r="Y5" s="60">
        <v>151.9</v>
      </c>
      <c r="Z5" s="68">
        <v>155.69999999999999</v>
      </c>
      <c r="AA5" s="67">
        <v>140.6</v>
      </c>
      <c r="AB5" s="60">
        <v>140.19999999999999</v>
      </c>
      <c r="AC5" s="68">
        <v>140.4</v>
      </c>
    </row>
    <row r="6" spans="1:29" x14ac:dyDescent="0.2">
      <c r="A6" s="131"/>
      <c r="B6" s="65">
        <v>43831</v>
      </c>
      <c r="C6" s="67">
        <v>153</v>
      </c>
      <c r="D6" s="60">
        <v>154.4</v>
      </c>
      <c r="E6" s="68">
        <v>153.5</v>
      </c>
      <c r="F6" s="84" t="s">
        <v>32</v>
      </c>
      <c r="G6" s="72">
        <v>153.9</v>
      </c>
      <c r="H6" s="73">
        <v>153.9</v>
      </c>
      <c r="I6" s="67">
        <v>150.4</v>
      </c>
      <c r="J6" s="60">
        <v>135.1</v>
      </c>
      <c r="K6" s="68">
        <v>144.6</v>
      </c>
      <c r="L6" s="67">
        <v>151.69999999999999</v>
      </c>
      <c r="M6" s="61">
        <v>140.1</v>
      </c>
      <c r="N6" s="68">
        <v>146.19999999999999</v>
      </c>
      <c r="O6" s="67">
        <v>155.69999999999999</v>
      </c>
      <c r="P6" s="61">
        <v>143.80000000000001</v>
      </c>
      <c r="Q6" s="68">
        <v>151.19999999999999</v>
      </c>
      <c r="R6" s="67">
        <v>136.30000000000001</v>
      </c>
      <c r="S6" s="61">
        <v>126.1</v>
      </c>
      <c r="T6" s="68">
        <v>130.9</v>
      </c>
      <c r="U6" s="67">
        <v>150.1</v>
      </c>
      <c r="V6" s="61">
        <v>137.19999999999999</v>
      </c>
      <c r="W6" s="68">
        <v>142.80000000000001</v>
      </c>
      <c r="X6" s="67">
        <v>161.69999999999999</v>
      </c>
      <c r="Y6" s="61">
        <v>152.1</v>
      </c>
      <c r="Z6" s="68">
        <v>156.1</v>
      </c>
      <c r="AA6" s="67">
        <v>142.5</v>
      </c>
      <c r="AB6" s="61">
        <v>142.1</v>
      </c>
      <c r="AC6" s="68">
        <v>142.30000000000001</v>
      </c>
    </row>
    <row r="7" spans="1:29" x14ac:dyDescent="0.2">
      <c r="A7" s="131"/>
      <c r="B7" s="65">
        <v>43862</v>
      </c>
      <c r="C7" s="69">
        <v>149.80000000000001</v>
      </c>
      <c r="D7" s="61">
        <v>151.69999999999999</v>
      </c>
      <c r="E7" s="70">
        <v>150.5</v>
      </c>
      <c r="F7" s="84" t="s">
        <v>32</v>
      </c>
      <c r="G7" s="61">
        <v>154.80000000000001</v>
      </c>
      <c r="H7" s="68">
        <v>154.80000000000001</v>
      </c>
      <c r="I7" s="69">
        <v>152.30000000000001</v>
      </c>
      <c r="J7" s="61">
        <v>138.9</v>
      </c>
      <c r="K7" s="70">
        <v>147.19999999999999</v>
      </c>
      <c r="L7" s="69">
        <v>151.80000000000001</v>
      </c>
      <c r="M7" s="60">
        <v>140.4</v>
      </c>
      <c r="N7" s="70">
        <v>146.4</v>
      </c>
      <c r="O7" s="69">
        <v>156.19999999999999</v>
      </c>
      <c r="P7" s="60">
        <v>144.4</v>
      </c>
      <c r="Q7" s="70">
        <v>151.69999999999999</v>
      </c>
      <c r="R7" s="69">
        <v>136</v>
      </c>
      <c r="S7" s="60">
        <v>125.2</v>
      </c>
      <c r="T7" s="70">
        <v>130.30000000000001</v>
      </c>
      <c r="U7" s="69">
        <v>150.4</v>
      </c>
      <c r="V7" s="60">
        <v>137.69999999999999</v>
      </c>
      <c r="W7" s="70">
        <v>143.19999999999999</v>
      </c>
      <c r="X7" s="69">
        <v>161.9</v>
      </c>
      <c r="Y7" s="60">
        <v>152.19999999999999</v>
      </c>
      <c r="Z7" s="70">
        <v>156.19999999999999</v>
      </c>
      <c r="AA7" s="69">
        <v>143.4</v>
      </c>
      <c r="AB7" s="60">
        <v>143.5</v>
      </c>
      <c r="AC7" s="70">
        <v>143.4</v>
      </c>
    </row>
    <row r="8" spans="1:29" x14ac:dyDescent="0.2">
      <c r="A8" s="132" t="s">
        <v>63</v>
      </c>
      <c r="B8" s="65">
        <v>43891</v>
      </c>
      <c r="C8" s="67">
        <v>148.19999999999999</v>
      </c>
      <c r="D8" s="60">
        <v>150.1</v>
      </c>
      <c r="E8" s="68">
        <v>148.9</v>
      </c>
      <c r="F8" s="84" t="s">
        <v>32</v>
      </c>
      <c r="G8" s="61">
        <v>154.5</v>
      </c>
      <c r="H8" s="68">
        <v>154.5</v>
      </c>
      <c r="I8" s="67">
        <v>153.4</v>
      </c>
      <c r="J8" s="60">
        <v>141.4</v>
      </c>
      <c r="K8" s="68">
        <v>148.9</v>
      </c>
      <c r="L8" s="67">
        <v>151.5</v>
      </c>
      <c r="M8" s="61">
        <v>140.80000000000001</v>
      </c>
      <c r="N8" s="68">
        <v>146.4</v>
      </c>
      <c r="O8" s="67">
        <v>156.69999999999999</v>
      </c>
      <c r="P8" s="61">
        <v>145</v>
      </c>
      <c r="Q8" s="68">
        <v>152.30000000000001</v>
      </c>
      <c r="R8" s="67">
        <v>135.80000000000001</v>
      </c>
      <c r="S8" s="61">
        <v>124.6</v>
      </c>
      <c r="T8" s="68">
        <v>129.9</v>
      </c>
      <c r="U8" s="67">
        <v>151.19999999999999</v>
      </c>
      <c r="V8" s="61">
        <v>137.9</v>
      </c>
      <c r="W8" s="68">
        <v>143.69999999999999</v>
      </c>
      <c r="X8" s="67">
        <v>161.19999999999999</v>
      </c>
      <c r="Y8" s="61">
        <v>152.5</v>
      </c>
      <c r="Z8" s="68">
        <v>156.1</v>
      </c>
      <c r="AA8" s="67">
        <v>145.1</v>
      </c>
      <c r="AB8" s="61">
        <v>145.30000000000001</v>
      </c>
      <c r="AC8" s="68">
        <v>145.19999999999999</v>
      </c>
    </row>
    <row r="9" spans="1:29" x14ac:dyDescent="0.2">
      <c r="A9" s="132"/>
      <c r="B9" s="65">
        <v>43922</v>
      </c>
      <c r="C9" s="69">
        <v>150.1</v>
      </c>
      <c r="D9" s="61">
        <v>153.5</v>
      </c>
      <c r="E9" s="70">
        <v>151.4</v>
      </c>
      <c r="F9" s="84" t="s">
        <v>32</v>
      </c>
      <c r="G9" s="72">
        <v>155.6</v>
      </c>
      <c r="H9" s="73">
        <v>155.6</v>
      </c>
      <c r="I9" s="69">
        <v>148.4</v>
      </c>
      <c r="J9" s="61">
        <v>137.1</v>
      </c>
      <c r="K9" s="70">
        <v>144.1</v>
      </c>
      <c r="L9" s="80">
        <v>151.56666666666666</v>
      </c>
      <c r="M9" s="62">
        <v>140.66666666666669</v>
      </c>
      <c r="N9" s="70">
        <v>146.4</v>
      </c>
      <c r="O9" s="69">
        <v>154.30000000000001</v>
      </c>
      <c r="P9" s="60">
        <v>144.80000000000001</v>
      </c>
      <c r="Q9" s="70">
        <v>150.69999999999999</v>
      </c>
      <c r="R9" s="80">
        <v>137.66666666666669</v>
      </c>
      <c r="S9" s="62">
        <v>126.16666666666667</v>
      </c>
      <c r="T9" s="81">
        <v>131.6</v>
      </c>
      <c r="U9" s="80">
        <v>151.86666666666665</v>
      </c>
      <c r="V9" s="62">
        <v>140.1</v>
      </c>
      <c r="W9" s="81">
        <v>145.23333333333332</v>
      </c>
      <c r="X9" s="80">
        <v>161.4</v>
      </c>
      <c r="Y9" s="62">
        <v>152.5</v>
      </c>
      <c r="Z9" s="81">
        <v>156.19999999999999</v>
      </c>
      <c r="AA9" s="80">
        <v>147.13333333333333</v>
      </c>
      <c r="AB9" s="62">
        <v>147.6</v>
      </c>
      <c r="AC9" s="81">
        <v>147.33333333333331</v>
      </c>
    </row>
    <row r="10" spans="1:29" x14ac:dyDescent="0.2">
      <c r="A10" s="132"/>
      <c r="B10" s="65">
        <v>43952</v>
      </c>
      <c r="C10" s="71">
        <v>151.19999999999999</v>
      </c>
      <c r="D10" s="72">
        <v>155.25</v>
      </c>
      <c r="E10" s="73">
        <v>152.69999999999999</v>
      </c>
      <c r="F10" s="84" t="s">
        <v>32</v>
      </c>
      <c r="G10" s="72">
        <v>155.19999999999999</v>
      </c>
      <c r="H10" s="73">
        <v>155.19999999999999</v>
      </c>
      <c r="I10" s="67">
        <v>146.65</v>
      </c>
      <c r="J10" s="61">
        <v>137.1</v>
      </c>
      <c r="K10" s="68">
        <v>143</v>
      </c>
      <c r="L10" s="67">
        <v>151.69999999999999</v>
      </c>
      <c r="M10" s="61">
        <v>140.4</v>
      </c>
      <c r="N10" s="68">
        <v>146.4</v>
      </c>
      <c r="O10" s="67">
        <v>156.25</v>
      </c>
      <c r="P10" s="61">
        <v>146.44999999999999</v>
      </c>
      <c r="Q10" s="68">
        <v>152.55000000000001</v>
      </c>
      <c r="R10" s="82">
        <v>141.4</v>
      </c>
      <c r="S10" s="63">
        <v>129.30000000000001</v>
      </c>
      <c r="T10" s="83">
        <v>135</v>
      </c>
      <c r="U10" s="82">
        <v>153.19999999999999</v>
      </c>
      <c r="V10" s="63">
        <v>144.5</v>
      </c>
      <c r="W10" s="83">
        <v>148.30000000000001</v>
      </c>
      <c r="X10" s="82">
        <v>161.80000000000001</v>
      </c>
      <c r="Y10" s="63">
        <v>152.5</v>
      </c>
      <c r="Z10" s="83">
        <v>156.4</v>
      </c>
      <c r="AA10" s="82">
        <v>151.19999999999999</v>
      </c>
      <c r="AB10" s="63">
        <v>152.19999999999999</v>
      </c>
      <c r="AC10" s="83">
        <v>151.6</v>
      </c>
    </row>
    <row r="11" spans="1:29" x14ac:dyDescent="0.2">
      <c r="A11" s="131" t="s">
        <v>64</v>
      </c>
      <c r="B11" s="65">
        <v>43983</v>
      </c>
      <c r="C11" s="69">
        <v>152.30000000000001</v>
      </c>
      <c r="D11" s="61">
        <v>157</v>
      </c>
      <c r="E11" s="70">
        <v>154</v>
      </c>
      <c r="F11" s="84" t="s">
        <v>32</v>
      </c>
      <c r="G11" s="72">
        <v>154.69999999999999</v>
      </c>
      <c r="H11" s="73">
        <v>154.69999999999999</v>
      </c>
      <c r="I11" s="69">
        <v>144.9</v>
      </c>
      <c r="J11" s="60">
        <v>137.1</v>
      </c>
      <c r="K11" s="70">
        <v>141.9</v>
      </c>
      <c r="L11" s="69">
        <v>151.69999999999999</v>
      </c>
      <c r="M11" s="60">
        <v>140.4</v>
      </c>
      <c r="N11" s="70">
        <v>146.4</v>
      </c>
      <c r="O11" s="69">
        <v>158.19999999999999</v>
      </c>
      <c r="P11" s="60">
        <v>148.1</v>
      </c>
      <c r="Q11" s="70">
        <v>154.4</v>
      </c>
      <c r="R11" s="69">
        <v>141.4</v>
      </c>
      <c r="S11" s="60">
        <v>129.30000000000001</v>
      </c>
      <c r="T11" s="70">
        <v>135</v>
      </c>
      <c r="U11" s="69">
        <v>153.19999999999999</v>
      </c>
      <c r="V11" s="60">
        <v>144.5</v>
      </c>
      <c r="W11" s="70">
        <v>148.30000000000001</v>
      </c>
      <c r="X11" s="69">
        <v>161.80000000000001</v>
      </c>
      <c r="Y11" s="60">
        <v>152.5</v>
      </c>
      <c r="Z11" s="70">
        <v>156.4</v>
      </c>
      <c r="AA11" s="69">
        <v>151.19999999999999</v>
      </c>
      <c r="AB11" s="60">
        <v>152.19999999999999</v>
      </c>
      <c r="AC11" s="70">
        <v>151.6</v>
      </c>
    </row>
    <row r="12" spans="1:29" x14ac:dyDescent="0.2">
      <c r="A12" s="131"/>
      <c r="B12" s="65">
        <v>44013</v>
      </c>
      <c r="C12" s="67">
        <v>152.30000000000001</v>
      </c>
      <c r="D12" s="60">
        <v>157</v>
      </c>
      <c r="E12" s="68">
        <v>154</v>
      </c>
      <c r="F12" s="84" t="s">
        <v>32</v>
      </c>
      <c r="G12" s="72">
        <v>154.69999999999999</v>
      </c>
      <c r="H12" s="73">
        <v>154.69999999999999</v>
      </c>
      <c r="I12" s="67">
        <v>144.9</v>
      </c>
      <c r="J12" s="61">
        <v>137.1</v>
      </c>
      <c r="K12" s="68">
        <v>141.9</v>
      </c>
      <c r="L12" s="67">
        <v>151.69999999999999</v>
      </c>
      <c r="M12" s="61">
        <v>140.4</v>
      </c>
      <c r="N12" s="68">
        <v>146.4</v>
      </c>
      <c r="O12" s="67">
        <v>158.19999999999999</v>
      </c>
      <c r="P12" s="61">
        <v>148.1</v>
      </c>
      <c r="Q12" s="68">
        <v>154.4</v>
      </c>
      <c r="R12" s="67">
        <v>141.4</v>
      </c>
      <c r="S12" s="61">
        <v>129.30000000000001</v>
      </c>
      <c r="T12" s="68">
        <v>135</v>
      </c>
      <c r="U12" s="67">
        <v>153.19999999999999</v>
      </c>
      <c r="V12" s="61">
        <v>144.5</v>
      </c>
      <c r="W12" s="68">
        <v>148.30000000000001</v>
      </c>
      <c r="X12" s="67">
        <v>161.80000000000001</v>
      </c>
      <c r="Y12" s="61">
        <v>152.5</v>
      </c>
      <c r="Z12" s="68">
        <v>156.4</v>
      </c>
      <c r="AA12" s="67">
        <v>151.19999999999999</v>
      </c>
      <c r="AB12" s="61">
        <v>152.19999999999999</v>
      </c>
      <c r="AC12" s="68">
        <v>151.6</v>
      </c>
    </row>
    <row r="13" spans="1:29" x14ac:dyDescent="0.2">
      <c r="A13" s="131"/>
      <c r="B13" s="65">
        <v>44044</v>
      </c>
      <c r="C13" s="69">
        <v>155.30000000000001</v>
      </c>
      <c r="D13" s="61">
        <v>159.9</v>
      </c>
      <c r="E13" s="70">
        <v>157</v>
      </c>
      <c r="F13" s="84" t="s">
        <v>32</v>
      </c>
      <c r="G13" s="72">
        <v>155.5</v>
      </c>
      <c r="H13" s="73">
        <v>155.5</v>
      </c>
      <c r="I13" s="69">
        <v>145.80000000000001</v>
      </c>
      <c r="J13" s="60">
        <v>138.30000000000001</v>
      </c>
      <c r="K13" s="70">
        <v>143</v>
      </c>
      <c r="L13" s="69">
        <v>151.9</v>
      </c>
      <c r="M13" s="60">
        <v>144.5</v>
      </c>
      <c r="N13" s="70">
        <v>148.4</v>
      </c>
      <c r="O13" s="69">
        <v>158.80000000000001</v>
      </c>
      <c r="P13" s="60">
        <v>148.69999999999999</v>
      </c>
      <c r="Q13" s="70">
        <v>155</v>
      </c>
      <c r="R13" s="69">
        <v>143.6</v>
      </c>
      <c r="S13" s="60">
        <v>133.9</v>
      </c>
      <c r="T13" s="70">
        <v>138.5</v>
      </c>
      <c r="U13" s="69">
        <v>152.19999999999999</v>
      </c>
      <c r="V13" s="60">
        <v>141.19999999999999</v>
      </c>
      <c r="W13" s="70">
        <v>146</v>
      </c>
      <c r="X13" s="69">
        <v>162.69999999999999</v>
      </c>
      <c r="Y13" s="60">
        <v>155.5</v>
      </c>
      <c r="Z13" s="70">
        <v>158.5</v>
      </c>
      <c r="AA13" s="69">
        <v>153.6</v>
      </c>
      <c r="AB13" s="60">
        <v>155.19999999999999</v>
      </c>
      <c r="AC13" s="70">
        <v>154.30000000000001</v>
      </c>
    </row>
    <row r="14" spans="1:29" x14ac:dyDescent="0.2">
      <c r="A14" s="131"/>
      <c r="B14" s="65">
        <v>44075</v>
      </c>
      <c r="C14" s="67">
        <v>156.1</v>
      </c>
      <c r="D14" s="60">
        <v>161.30000000000001</v>
      </c>
      <c r="E14" s="68">
        <v>158</v>
      </c>
      <c r="F14" s="84" t="s">
        <v>32</v>
      </c>
      <c r="G14" s="72">
        <v>156.30000000000001</v>
      </c>
      <c r="H14" s="73">
        <v>156.30000000000001</v>
      </c>
      <c r="I14" s="67">
        <v>146.4</v>
      </c>
      <c r="J14" s="61">
        <v>137.19999999999999</v>
      </c>
      <c r="K14" s="68">
        <v>142.9</v>
      </c>
      <c r="L14" s="67">
        <v>151.6</v>
      </c>
      <c r="M14" s="61">
        <v>145.4</v>
      </c>
      <c r="N14" s="68">
        <v>148.69999999999999</v>
      </c>
      <c r="O14" s="67">
        <v>159.1</v>
      </c>
      <c r="P14" s="61">
        <v>150</v>
      </c>
      <c r="Q14" s="68">
        <v>155.6</v>
      </c>
      <c r="R14" s="67">
        <v>144.6</v>
      </c>
      <c r="S14" s="61">
        <v>135.1</v>
      </c>
      <c r="T14" s="68">
        <v>139.6</v>
      </c>
      <c r="U14" s="67">
        <v>152.80000000000001</v>
      </c>
      <c r="V14" s="61">
        <v>141.80000000000001</v>
      </c>
      <c r="W14" s="68">
        <v>146.6</v>
      </c>
      <c r="X14" s="67">
        <v>161.1</v>
      </c>
      <c r="Y14" s="61">
        <v>154.9</v>
      </c>
      <c r="Z14" s="68">
        <v>157.5</v>
      </c>
      <c r="AA14" s="67">
        <v>157.4</v>
      </c>
      <c r="AB14" s="61">
        <v>159.80000000000001</v>
      </c>
      <c r="AC14" s="68">
        <v>158.4</v>
      </c>
    </row>
    <row r="15" spans="1:29" x14ac:dyDescent="0.2">
      <c r="A15" s="131"/>
      <c r="B15" s="65">
        <v>44105</v>
      </c>
      <c r="C15" s="74">
        <v>159.6</v>
      </c>
      <c r="D15" s="75">
        <v>164.4</v>
      </c>
      <c r="E15" s="76">
        <v>161.4</v>
      </c>
      <c r="F15" s="85" t="s">
        <v>32</v>
      </c>
      <c r="G15" s="77">
        <v>156.5</v>
      </c>
      <c r="H15" s="78">
        <v>156.5</v>
      </c>
      <c r="I15" s="74">
        <v>146.80000000000001</v>
      </c>
      <c r="J15" s="79">
        <v>137.1</v>
      </c>
      <c r="K15" s="76">
        <v>143.1</v>
      </c>
      <c r="L15" s="74">
        <v>152</v>
      </c>
      <c r="M15" s="79">
        <v>145.1</v>
      </c>
      <c r="N15" s="76">
        <v>148.69999999999999</v>
      </c>
      <c r="O15" s="74">
        <v>159.5</v>
      </c>
      <c r="P15" s="79">
        <v>151</v>
      </c>
      <c r="Q15" s="76">
        <v>156.30000000000001</v>
      </c>
      <c r="R15" s="74">
        <v>146.4</v>
      </c>
      <c r="S15" s="79">
        <v>135.4</v>
      </c>
      <c r="T15" s="76">
        <v>140.6</v>
      </c>
      <c r="U15" s="74">
        <v>152.4</v>
      </c>
      <c r="V15" s="79">
        <v>142</v>
      </c>
      <c r="W15" s="76">
        <v>146.5</v>
      </c>
      <c r="X15" s="74">
        <v>162.5</v>
      </c>
      <c r="Y15" s="79">
        <v>155.69999999999999</v>
      </c>
      <c r="Z15" s="76">
        <v>158.5</v>
      </c>
      <c r="AA15" s="74">
        <v>156.19999999999999</v>
      </c>
      <c r="AB15" s="79">
        <v>158.1</v>
      </c>
      <c r="AC15" s="76">
        <v>157</v>
      </c>
    </row>
    <row r="16" spans="1:29" x14ac:dyDescent="0.2">
      <c r="B16" s="41"/>
    </row>
    <row r="17" spans="1:11" x14ac:dyDescent="0.2">
      <c r="B17" s="41"/>
    </row>
    <row r="18" spans="1:11" ht="13.5" x14ac:dyDescent="0.25">
      <c r="A18" s="133" t="s">
        <v>65</v>
      </c>
      <c r="B18" s="134"/>
      <c r="C18" s="134"/>
    </row>
    <row r="19" spans="1:11" ht="27" customHeight="1" x14ac:dyDescent="0.2">
      <c r="B19" s="66" t="s">
        <v>2</v>
      </c>
      <c r="C19" s="99" t="s">
        <v>15</v>
      </c>
      <c r="D19" s="100" t="s">
        <v>20</v>
      </c>
      <c r="E19" s="100" t="s">
        <v>21</v>
      </c>
      <c r="F19" s="100" t="s">
        <v>22</v>
      </c>
      <c r="G19" s="100" t="s">
        <v>23</v>
      </c>
      <c r="H19" s="100" t="s">
        <v>24</v>
      </c>
      <c r="I19" s="100" t="s">
        <v>25</v>
      </c>
      <c r="J19" s="100" t="s">
        <v>26</v>
      </c>
      <c r="K19" s="100" t="s">
        <v>27</v>
      </c>
    </row>
    <row r="20" spans="1:11" x14ac:dyDescent="0.2">
      <c r="A20" s="131" t="s">
        <v>62</v>
      </c>
      <c r="B20" s="87">
        <v>43800</v>
      </c>
      <c r="C20" s="88">
        <f>C5/'Cleaned Data'!P245 - 1</f>
        <v>2.2531477799867528E-2</v>
      </c>
      <c r="D20" s="89" t="s">
        <v>32</v>
      </c>
      <c r="E20" s="90">
        <f>I5/'Cleaned Data'!V245 - 1</f>
        <v>1.0107816711590223E-2</v>
      </c>
      <c r="F20" s="90">
        <f>L5/'Cleaned Data'!W245 - 1</f>
        <v>1.9880715705764551E-3</v>
      </c>
      <c r="G20" s="90">
        <f>O5/'Cleaned Data'!X245 - 1</f>
        <v>3.240440699935121E-3</v>
      </c>
      <c r="H20" s="90">
        <f>R5/'Cleaned Data'!Y245 - 1</f>
        <v>2.195306585919754E-2</v>
      </c>
      <c r="I20" s="90">
        <f>U5/'Cleaned Data'!Z245 - 1</f>
        <v>2.6827632461434714E-3</v>
      </c>
      <c r="J20" s="90">
        <f>X5/'Cleaned Data'!AA245 - 1</f>
        <v>1.8656716417908559E-3</v>
      </c>
      <c r="K20" s="91">
        <f>AA5/'Cleaned Data'!AB245 - 1</f>
        <v>0</v>
      </c>
    </row>
    <row r="21" spans="1:11" x14ac:dyDescent="0.2">
      <c r="A21" s="131"/>
      <c r="B21" s="87">
        <v>43831</v>
      </c>
      <c r="C21" s="92">
        <f>C6/C5 - 1</f>
        <v>-8.4251458198315587E-3</v>
      </c>
      <c r="D21" s="86" t="s">
        <v>32</v>
      </c>
      <c r="E21" s="93">
        <f>I6/I5 - 1</f>
        <v>3.3355570380253496E-3</v>
      </c>
      <c r="F21" s="93">
        <f>L6/L5 - 1</f>
        <v>3.3068783068783691E-3</v>
      </c>
      <c r="G21" s="93">
        <f>O6/O5 - 1</f>
        <v>5.8139534883718813E-3</v>
      </c>
      <c r="H21" s="93">
        <f>R6/R5 - 1</f>
        <v>9.6296296296296546E-3</v>
      </c>
      <c r="I21" s="93">
        <f>U6/U5 - 1</f>
        <v>4.0133779264213132E-3</v>
      </c>
      <c r="J21" s="93">
        <f>X6/X5 - 1</f>
        <v>3.7243947858471849E-3</v>
      </c>
      <c r="K21" s="94">
        <f>AA6/AA5 - 1</f>
        <v>1.3513513513513598E-2</v>
      </c>
    </row>
    <row r="22" spans="1:11" x14ac:dyDescent="0.2">
      <c r="A22" s="131"/>
      <c r="B22" s="87">
        <v>43862</v>
      </c>
      <c r="C22" s="92">
        <f t="shared" ref="C22:C30" si="0">C7/C6 - 1</f>
        <v>-2.0915032679738488E-2</v>
      </c>
      <c r="D22" s="86" t="s">
        <v>32</v>
      </c>
      <c r="E22" s="93">
        <f t="shared" ref="E22:E30" si="1">I7/I6 - 1</f>
        <v>1.2632978723404298E-2</v>
      </c>
      <c r="F22" s="93">
        <f t="shared" ref="F22:F30" si="2">L7/L6 - 1</f>
        <v>6.591957811472593E-4</v>
      </c>
      <c r="G22" s="93">
        <f t="shared" ref="G22:G30" si="3">O7/O6 - 1</f>
        <v>3.2113037893384266E-3</v>
      </c>
      <c r="H22" s="93">
        <f t="shared" ref="H22:H30" si="4">R7/R6 - 1</f>
        <v>-2.2010271460015662E-3</v>
      </c>
      <c r="I22" s="93">
        <f t="shared" ref="I22:I30" si="5">U7/U6 - 1</f>
        <v>1.9986675549634736E-3</v>
      </c>
      <c r="J22" s="93">
        <f t="shared" ref="J22:J30" si="6">X7/X6 - 1</f>
        <v>1.2368583797155441E-3</v>
      </c>
      <c r="K22" s="94">
        <f t="shared" ref="K22:K30" si="7">AA7/AA6 - 1</f>
        <v>6.3157894736842746E-3</v>
      </c>
    </row>
    <row r="23" spans="1:11" x14ac:dyDescent="0.2">
      <c r="A23" s="132" t="s">
        <v>63</v>
      </c>
      <c r="B23" s="87">
        <v>43891</v>
      </c>
      <c r="C23" s="88">
        <f t="shared" si="0"/>
        <v>-1.0680907877169687E-2</v>
      </c>
      <c r="D23" s="89" t="s">
        <v>32</v>
      </c>
      <c r="E23" s="90">
        <f t="shared" si="1"/>
        <v>7.2225869993434166E-3</v>
      </c>
      <c r="F23" s="90">
        <f t="shared" si="2"/>
        <v>-1.9762845849803368E-3</v>
      </c>
      <c r="G23" s="90">
        <f t="shared" si="3"/>
        <v>3.2010243277849071E-3</v>
      </c>
      <c r="H23" s="90">
        <f t="shared" si="4"/>
        <v>-1.4705882352940014E-3</v>
      </c>
      <c r="I23" s="90">
        <f t="shared" si="5"/>
        <v>5.3191489361701372E-3</v>
      </c>
      <c r="J23" s="90">
        <f t="shared" si="6"/>
        <v>-4.3236565781347158E-3</v>
      </c>
      <c r="K23" s="91">
        <f t="shared" si="7"/>
        <v>1.1854951185495066E-2</v>
      </c>
    </row>
    <row r="24" spans="1:11" x14ac:dyDescent="0.2">
      <c r="A24" s="132"/>
      <c r="B24" s="87">
        <v>43922</v>
      </c>
      <c r="C24" s="92">
        <f t="shared" si="0"/>
        <v>1.2820512820512775E-2</v>
      </c>
      <c r="D24" s="86" t="s">
        <v>32</v>
      </c>
      <c r="E24" s="93">
        <f t="shared" si="1"/>
        <v>-3.2594524119947899E-2</v>
      </c>
      <c r="F24" s="93">
        <f t="shared" si="2"/>
        <v>4.4004400440034175E-4</v>
      </c>
      <c r="G24" s="93">
        <f t="shared" si="3"/>
        <v>-1.5315890236119789E-2</v>
      </c>
      <c r="H24" s="93">
        <f t="shared" si="4"/>
        <v>1.3745704467353903E-2</v>
      </c>
      <c r="I24" s="93">
        <f t="shared" si="5"/>
        <v>4.4091710758376035E-3</v>
      </c>
      <c r="J24" s="93">
        <f t="shared" si="6"/>
        <v>1.2406947890819531E-3</v>
      </c>
      <c r="K24" s="94">
        <f t="shared" si="7"/>
        <v>1.4013324144268369E-2</v>
      </c>
    </row>
    <row r="25" spans="1:11" x14ac:dyDescent="0.2">
      <c r="A25" s="132"/>
      <c r="B25" s="87">
        <v>43952</v>
      </c>
      <c r="C25" s="95">
        <f t="shared" si="0"/>
        <v>7.3284477015322924E-3</v>
      </c>
      <c r="D25" s="96" t="s">
        <v>32</v>
      </c>
      <c r="E25" s="97">
        <f t="shared" si="1"/>
        <v>-1.1792452830188704E-2</v>
      </c>
      <c r="F25" s="97">
        <f t="shared" si="2"/>
        <v>8.7970090169342541E-4</v>
      </c>
      <c r="G25" s="97">
        <f t="shared" si="3"/>
        <v>1.2637718729747061E-2</v>
      </c>
      <c r="H25" s="97">
        <f t="shared" si="4"/>
        <v>2.7118644067796405E-2</v>
      </c>
      <c r="I25" s="97">
        <f t="shared" si="5"/>
        <v>8.7796312554873079E-3</v>
      </c>
      <c r="J25" s="97">
        <f t="shared" si="6"/>
        <v>2.4783147459728205E-3</v>
      </c>
      <c r="K25" s="98">
        <f t="shared" si="7"/>
        <v>2.7639329406434099E-2</v>
      </c>
    </row>
    <row r="26" spans="1:11" x14ac:dyDescent="0.2">
      <c r="A26" s="131" t="s">
        <v>64</v>
      </c>
      <c r="B26" s="87">
        <v>43983</v>
      </c>
      <c r="C26" s="92">
        <f t="shared" si="0"/>
        <v>7.2751322751323233E-3</v>
      </c>
      <c r="D26" s="86" t="s">
        <v>32</v>
      </c>
      <c r="E26" s="93">
        <f t="shared" si="1"/>
        <v>-1.1933174224343701E-2</v>
      </c>
      <c r="F26" s="93">
        <f t="shared" si="2"/>
        <v>0</v>
      </c>
      <c r="G26" s="93">
        <f t="shared" si="3"/>
        <v>1.2479999999999825E-2</v>
      </c>
      <c r="H26" s="93">
        <f t="shared" si="4"/>
        <v>0</v>
      </c>
      <c r="I26" s="93">
        <f t="shared" si="5"/>
        <v>0</v>
      </c>
      <c r="J26" s="93">
        <f t="shared" si="6"/>
        <v>0</v>
      </c>
      <c r="K26" s="94">
        <f t="shared" si="7"/>
        <v>0</v>
      </c>
    </row>
    <row r="27" spans="1:11" x14ac:dyDescent="0.2">
      <c r="A27" s="131"/>
      <c r="B27" s="87">
        <v>44013</v>
      </c>
      <c r="C27" s="92">
        <f t="shared" si="0"/>
        <v>0</v>
      </c>
      <c r="D27" s="86" t="s">
        <v>32</v>
      </c>
      <c r="E27" s="93">
        <f t="shared" si="1"/>
        <v>0</v>
      </c>
      <c r="F27" s="93">
        <f t="shared" si="2"/>
        <v>0</v>
      </c>
      <c r="G27" s="93">
        <f t="shared" si="3"/>
        <v>0</v>
      </c>
      <c r="H27" s="93">
        <f t="shared" si="4"/>
        <v>0</v>
      </c>
      <c r="I27" s="93">
        <f t="shared" si="5"/>
        <v>0</v>
      </c>
      <c r="J27" s="93">
        <f t="shared" si="6"/>
        <v>0</v>
      </c>
      <c r="K27" s="94">
        <f t="shared" si="7"/>
        <v>0</v>
      </c>
    </row>
    <row r="28" spans="1:11" x14ac:dyDescent="0.2">
      <c r="A28" s="131"/>
      <c r="B28" s="87">
        <v>44044</v>
      </c>
      <c r="C28" s="92">
        <f t="shared" si="0"/>
        <v>1.9697964543663904E-2</v>
      </c>
      <c r="D28" s="86" t="s">
        <v>32</v>
      </c>
      <c r="E28" s="93">
        <f t="shared" si="1"/>
        <v>6.2111801242237252E-3</v>
      </c>
      <c r="F28" s="93">
        <f t="shared" si="2"/>
        <v>1.3183915622940745E-3</v>
      </c>
      <c r="G28" s="93">
        <f t="shared" si="3"/>
        <v>3.7926675094817064E-3</v>
      </c>
      <c r="H28" s="93">
        <f t="shared" si="4"/>
        <v>1.5558698727015541E-2</v>
      </c>
      <c r="I28" s="93">
        <f t="shared" si="5"/>
        <v>-6.5274151436031103E-3</v>
      </c>
      <c r="J28" s="93">
        <f t="shared" si="6"/>
        <v>5.5624227441284368E-3</v>
      </c>
      <c r="K28" s="94">
        <f t="shared" si="7"/>
        <v>1.5873015873015817E-2</v>
      </c>
    </row>
    <row r="29" spans="1:11" x14ac:dyDescent="0.2">
      <c r="A29" s="131"/>
      <c r="B29" s="87">
        <v>44075</v>
      </c>
      <c r="C29" s="92">
        <f t="shared" si="0"/>
        <v>5.1513200257564673E-3</v>
      </c>
      <c r="D29" s="86" t="s">
        <v>32</v>
      </c>
      <c r="E29" s="93">
        <f t="shared" si="1"/>
        <v>4.1152263374484299E-3</v>
      </c>
      <c r="F29" s="93">
        <f t="shared" si="2"/>
        <v>-1.9749835418039208E-3</v>
      </c>
      <c r="G29" s="93">
        <f t="shared" si="3"/>
        <v>1.8891687657429657E-3</v>
      </c>
      <c r="H29" s="93">
        <f t="shared" si="4"/>
        <v>6.9637883008355494E-3</v>
      </c>
      <c r="I29" s="93">
        <f t="shared" si="5"/>
        <v>3.9421813403417438E-3</v>
      </c>
      <c r="J29" s="93">
        <f t="shared" si="6"/>
        <v>-9.8340503995082429E-3</v>
      </c>
      <c r="K29" s="94">
        <f t="shared" si="7"/>
        <v>2.4739583333333481E-2</v>
      </c>
    </row>
    <row r="30" spans="1:11" x14ac:dyDescent="0.2">
      <c r="A30" s="131"/>
      <c r="B30" s="87">
        <v>44105</v>
      </c>
      <c r="C30" s="95">
        <f t="shared" si="0"/>
        <v>2.2421524663677195E-2</v>
      </c>
      <c r="D30" s="96" t="s">
        <v>32</v>
      </c>
      <c r="E30" s="97">
        <f t="shared" si="1"/>
        <v>2.732240437158584E-3</v>
      </c>
      <c r="F30" s="97">
        <f t="shared" si="2"/>
        <v>2.6385224274407815E-3</v>
      </c>
      <c r="G30" s="97">
        <f t="shared" si="3"/>
        <v>2.5141420490257804E-3</v>
      </c>
      <c r="H30" s="97">
        <f t="shared" si="4"/>
        <v>1.2448132780083165E-2</v>
      </c>
      <c r="I30" s="97">
        <f t="shared" si="5"/>
        <v>-2.6178010471205049E-3</v>
      </c>
      <c r="J30" s="97">
        <f t="shared" si="6"/>
        <v>8.6902545003104681E-3</v>
      </c>
      <c r="K30" s="98">
        <f t="shared" si="7"/>
        <v>-7.6238881829734373E-3</v>
      </c>
    </row>
    <row r="32" spans="1:11" ht="13.5" x14ac:dyDescent="0.25">
      <c r="A32" s="133" t="s">
        <v>66</v>
      </c>
      <c r="B32" s="134"/>
      <c r="C32" s="134"/>
    </row>
    <row r="33" spans="1:11" ht="33" customHeight="1" x14ac:dyDescent="0.2">
      <c r="B33" s="66" t="s">
        <v>2</v>
      </c>
      <c r="C33" s="99" t="s">
        <v>15</v>
      </c>
      <c r="D33" s="100" t="s">
        <v>20</v>
      </c>
      <c r="E33" s="100" t="s">
        <v>21</v>
      </c>
      <c r="F33" s="100" t="s">
        <v>22</v>
      </c>
      <c r="G33" s="100" t="s">
        <v>23</v>
      </c>
      <c r="H33" s="100" t="s">
        <v>24</v>
      </c>
      <c r="I33" s="100" t="s">
        <v>25</v>
      </c>
      <c r="J33" s="100" t="s">
        <v>26</v>
      </c>
      <c r="K33" s="100" t="s">
        <v>27</v>
      </c>
    </row>
    <row r="34" spans="1:11" x14ac:dyDescent="0.2">
      <c r="A34" s="131" t="s">
        <v>62</v>
      </c>
      <c r="B34" s="87">
        <v>43800</v>
      </c>
      <c r="C34" s="101">
        <f>D5/'Cleaned Data'!P246 - 1</f>
        <v>1.7578125000000222E-2</v>
      </c>
      <c r="D34" s="90">
        <f>G5/'Cleaned Data'!U246 - 1</f>
        <v>-4.5602605863191981E-3</v>
      </c>
      <c r="E34" s="90">
        <f>J5/'Cleaned Data'!V246 - 1</f>
        <v>1.0590015128593144E-2</v>
      </c>
      <c r="F34" s="90">
        <f>M5/'Cleaned Data'!W246-1</f>
        <v>5.0323508267435813E-3</v>
      </c>
      <c r="G34" s="90">
        <f>P5/'Cleaned Data'!X246-1</f>
        <v>2.8011204481790397E-3</v>
      </c>
      <c r="H34" s="90">
        <f>S5/'Cleaned Data'!Y246-1</f>
        <v>2.8759244042728005E-2</v>
      </c>
      <c r="I34" s="90">
        <f>V5/'Cleaned Data'!Z246-1</f>
        <v>7.3152889539152E-4</v>
      </c>
      <c r="J34" s="90">
        <f>Y5/'Cleaned Data'!AA246-1</f>
        <v>6.587615283266679E-4</v>
      </c>
      <c r="K34" s="91">
        <f>AB5/'Cleaned Data'!AB246-1</f>
        <v>2.8612303290413976E-3</v>
      </c>
    </row>
    <row r="35" spans="1:11" x14ac:dyDescent="0.2">
      <c r="A35" s="131"/>
      <c r="B35" s="87">
        <v>43831</v>
      </c>
      <c r="C35" s="92">
        <f>D6/D5 -1</f>
        <v>-1.2156110044785673E-2</v>
      </c>
      <c r="D35" s="93">
        <f>G6/65 - 1</f>
        <v>1.367692307692308</v>
      </c>
      <c r="E35" s="93">
        <f>J6/J5 - 1</f>
        <v>1.1227544910179743E-2</v>
      </c>
      <c r="F35" s="93">
        <f>M6/M5 - 1</f>
        <v>2.1459227467810482E-3</v>
      </c>
      <c r="G35" s="93">
        <f>P6/P5 - 1</f>
        <v>4.1899441340784715E-3</v>
      </c>
      <c r="H35" s="93">
        <f>S6/S5 - 1</f>
        <v>7.1884984025558651E-3</v>
      </c>
      <c r="I35" s="93">
        <f>V6/V5 - 1</f>
        <v>2.9239766081869956E-3</v>
      </c>
      <c r="J35" s="93">
        <f>Y6/Y5 - 1</f>
        <v>1.3166556945358732E-3</v>
      </c>
      <c r="K35" s="94">
        <f>AB6/AB5 - 1</f>
        <v>1.3552068473609236E-2</v>
      </c>
    </row>
    <row r="36" spans="1:11" x14ac:dyDescent="0.2">
      <c r="A36" s="131"/>
      <c r="B36" s="87">
        <v>43862</v>
      </c>
      <c r="C36" s="92">
        <f t="shared" ref="C36:C44" si="8">D7/D6 -1</f>
        <v>-1.7487046632124414E-2</v>
      </c>
      <c r="D36" s="93">
        <f t="shared" ref="D36:D44" si="9">G7/65 - 1</f>
        <v>1.3815384615384616</v>
      </c>
      <c r="E36" s="93">
        <f t="shared" ref="E36:E44" si="10">J7/J6 - 1</f>
        <v>2.812731310140637E-2</v>
      </c>
      <c r="F36" s="93">
        <f t="shared" ref="F36:F44" si="11">M7/M6 - 1</f>
        <v>2.1413276231263545E-3</v>
      </c>
      <c r="G36" s="93">
        <f t="shared" ref="G36:G44" si="12">P7/P6 - 1</f>
        <v>4.1724617524339092E-3</v>
      </c>
      <c r="H36" s="93">
        <f t="shared" ref="H36:H44" si="13">S7/S6 - 1</f>
        <v>-7.1371927042029881E-3</v>
      </c>
      <c r="I36" s="93">
        <f t="shared" ref="I36:I44" si="14">V7/V6 - 1</f>
        <v>3.6443148688045657E-3</v>
      </c>
      <c r="J36" s="93">
        <f t="shared" ref="J36:J44" si="15">Y7/Y6 - 1</f>
        <v>6.5746219592366373E-4</v>
      </c>
      <c r="K36" s="94">
        <f t="shared" ref="K36:K44" si="16">AB7/AB6 - 1</f>
        <v>9.8522167487684609E-3</v>
      </c>
    </row>
    <row r="37" spans="1:11" x14ac:dyDescent="0.2">
      <c r="A37" s="132" t="s">
        <v>63</v>
      </c>
      <c r="B37" s="87">
        <v>43891</v>
      </c>
      <c r="C37" s="88">
        <f t="shared" si="8"/>
        <v>-1.054713249835193E-2</v>
      </c>
      <c r="D37" s="90">
        <f t="shared" si="9"/>
        <v>1.3769230769230769</v>
      </c>
      <c r="E37" s="90">
        <f t="shared" si="10"/>
        <v>1.7998560115190854E-2</v>
      </c>
      <c r="F37" s="90">
        <f t="shared" si="11"/>
        <v>2.8490028490029129E-3</v>
      </c>
      <c r="G37" s="90">
        <f t="shared" si="12"/>
        <v>4.1551246537396835E-3</v>
      </c>
      <c r="H37" s="90">
        <f t="shared" si="13"/>
        <v>-4.7923322683707248E-3</v>
      </c>
      <c r="I37" s="90">
        <f t="shared" si="14"/>
        <v>1.4524328249818641E-3</v>
      </c>
      <c r="J37" s="90">
        <f t="shared" si="15"/>
        <v>1.9710906701708719E-3</v>
      </c>
      <c r="K37" s="91">
        <f t="shared" si="16"/>
        <v>1.2543554006968716E-2</v>
      </c>
    </row>
    <row r="38" spans="1:11" x14ac:dyDescent="0.2">
      <c r="A38" s="132"/>
      <c r="B38" s="87">
        <v>43922</v>
      </c>
      <c r="C38" s="92">
        <f t="shared" si="8"/>
        <v>2.2651565622918035E-2</v>
      </c>
      <c r="D38" s="93">
        <f t="shared" si="9"/>
        <v>1.393846153846154</v>
      </c>
      <c r="E38" s="93">
        <f t="shared" si="10"/>
        <v>-3.0410183875530516E-2</v>
      </c>
      <c r="F38" s="93">
        <f t="shared" si="11"/>
        <v>-9.4696969696961286E-4</v>
      </c>
      <c r="G38" s="93">
        <f t="shared" si="12"/>
        <v>-1.3793103448275223E-3</v>
      </c>
      <c r="H38" s="93">
        <f t="shared" si="13"/>
        <v>1.2573568753344144E-2</v>
      </c>
      <c r="I38" s="93">
        <f t="shared" si="14"/>
        <v>1.5953589557650361E-2</v>
      </c>
      <c r="J38" s="93">
        <f t="shared" si="15"/>
        <v>0</v>
      </c>
      <c r="K38" s="94">
        <f t="shared" si="16"/>
        <v>1.5829318651066737E-2</v>
      </c>
    </row>
    <row r="39" spans="1:11" x14ac:dyDescent="0.2">
      <c r="A39" s="132"/>
      <c r="B39" s="87">
        <v>43952</v>
      </c>
      <c r="C39" s="95">
        <f t="shared" si="8"/>
        <v>1.1400651465798051E-2</v>
      </c>
      <c r="D39" s="97">
        <f t="shared" si="9"/>
        <v>1.3876923076923076</v>
      </c>
      <c r="E39" s="97">
        <f t="shared" si="10"/>
        <v>0</v>
      </c>
      <c r="F39" s="97">
        <f t="shared" si="11"/>
        <v>-1.8957345971565287E-3</v>
      </c>
      <c r="G39" s="97">
        <f t="shared" si="12"/>
        <v>1.1395027624309328E-2</v>
      </c>
      <c r="H39" s="97">
        <f t="shared" si="13"/>
        <v>2.4834874504623627E-2</v>
      </c>
      <c r="I39" s="97">
        <f t="shared" si="14"/>
        <v>3.1406138472519718E-2</v>
      </c>
      <c r="J39" s="97">
        <f t="shared" si="15"/>
        <v>0</v>
      </c>
      <c r="K39" s="98">
        <f t="shared" si="16"/>
        <v>3.1165311653116534E-2</v>
      </c>
    </row>
    <row r="40" spans="1:11" x14ac:dyDescent="0.2">
      <c r="A40" s="131" t="s">
        <v>64</v>
      </c>
      <c r="B40" s="87">
        <v>43983</v>
      </c>
      <c r="C40" s="92">
        <f t="shared" si="8"/>
        <v>1.1272141706924366E-2</v>
      </c>
      <c r="D40" s="93">
        <f t="shared" si="9"/>
        <v>1.38</v>
      </c>
      <c r="E40" s="93">
        <f t="shared" si="10"/>
        <v>0</v>
      </c>
      <c r="F40" s="93">
        <f t="shared" si="11"/>
        <v>0</v>
      </c>
      <c r="G40" s="93">
        <f t="shared" si="12"/>
        <v>1.1266643905770035E-2</v>
      </c>
      <c r="H40" s="93">
        <f t="shared" si="13"/>
        <v>0</v>
      </c>
      <c r="I40" s="93">
        <f t="shared" si="14"/>
        <v>0</v>
      </c>
      <c r="J40" s="93">
        <f t="shared" si="15"/>
        <v>0</v>
      </c>
      <c r="K40" s="94">
        <f t="shared" si="16"/>
        <v>0</v>
      </c>
    </row>
    <row r="41" spans="1:11" x14ac:dyDescent="0.2">
      <c r="A41" s="131"/>
      <c r="B41" s="87">
        <v>44013</v>
      </c>
      <c r="C41" s="92">
        <f t="shared" si="8"/>
        <v>0</v>
      </c>
      <c r="D41" s="93">
        <f t="shared" si="9"/>
        <v>1.38</v>
      </c>
      <c r="E41" s="93">
        <f t="shared" si="10"/>
        <v>0</v>
      </c>
      <c r="F41" s="93">
        <f t="shared" si="11"/>
        <v>0</v>
      </c>
      <c r="G41" s="93">
        <f t="shared" si="12"/>
        <v>0</v>
      </c>
      <c r="H41" s="93">
        <f t="shared" si="13"/>
        <v>0</v>
      </c>
      <c r="I41" s="93">
        <f t="shared" si="14"/>
        <v>0</v>
      </c>
      <c r="J41" s="93">
        <f t="shared" si="15"/>
        <v>0</v>
      </c>
      <c r="K41" s="94">
        <f t="shared" si="16"/>
        <v>0</v>
      </c>
    </row>
    <row r="42" spans="1:11" x14ac:dyDescent="0.2">
      <c r="A42" s="131"/>
      <c r="B42" s="87">
        <v>44044</v>
      </c>
      <c r="C42" s="92">
        <f t="shared" si="8"/>
        <v>1.8471337579617941E-2</v>
      </c>
      <c r="D42" s="93">
        <f t="shared" si="9"/>
        <v>1.3923076923076922</v>
      </c>
      <c r="E42" s="93">
        <f t="shared" si="10"/>
        <v>8.7527352297593897E-3</v>
      </c>
      <c r="F42" s="93">
        <f t="shared" si="11"/>
        <v>2.9202279202279247E-2</v>
      </c>
      <c r="G42" s="93">
        <f t="shared" si="12"/>
        <v>4.051316677920358E-3</v>
      </c>
      <c r="H42" s="93">
        <f t="shared" si="13"/>
        <v>3.5576179427687427E-2</v>
      </c>
      <c r="I42" s="93">
        <f t="shared" si="14"/>
        <v>-2.2837370242214661E-2</v>
      </c>
      <c r="J42" s="93">
        <f t="shared" si="15"/>
        <v>1.9672131147540961E-2</v>
      </c>
      <c r="K42" s="94">
        <f t="shared" si="16"/>
        <v>1.9710906701708275E-2</v>
      </c>
    </row>
    <row r="43" spans="1:11" x14ac:dyDescent="0.2">
      <c r="A43" s="131"/>
      <c r="B43" s="87">
        <v>44075</v>
      </c>
      <c r="C43" s="92">
        <f t="shared" si="8"/>
        <v>8.7554721701064153E-3</v>
      </c>
      <c r="D43" s="93">
        <f t="shared" si="9"/>
        <v>1.4046153846153846</v>
      </c>
      <c r="E43" s="93">
        <f t="shared" si="10"/>
        <v>-7.9537237888649415E-3</v>
      </c>
      <c r="F43" s="93">
        <f t="shared" si="11"/>
        <v>6.2283737024222408E-3</v>
      </c>
      <c r="G43" s="93">
        <f t="shared" si="12"/>
        <v>8.7424344317419411E-3</v>
      </c>
      <c r="H43" s="93">
        <f t="shared" si="13"/>
        <v>8.9619118745332127E-3</v>
      </c>
      <c r="I43" s="93">
        <f t="shared" si="14"/>
        <v>4.2492917847027911E-3</v>
      </c>
      <c r="J43" s="93">
        <f t="shared" si="15"/>
        <v>-3.8585209003214604E-3</v>
      </c>
      <c r="K43" s="94">
        <f t="shared" si="16"/>
        <v>2.9639175257732076E-2</v>
      </c>
    </row>
    <row r="44" spans="1:11" x14ac:dyDescent="0.2">
      <c r="A44" s="131"/>
      <c r="B44" s="87">
        <v>44105</v>
      </c>
      <c r="C44" s="92">
        <f t="shared" si="8"/>
        <v>1.9218846869187844E-2</v>
      </c>
      <c r="D44" s="93">
        <f t="shared" si="9"/>
        <v>1.4076923076923076</v>
      </c>
      <c r="E44" s="93">
        <f t="shared" si="10"/>
        <v>-7.2886297376084652E-4</v>
      </c>
      <c r="F44" s="93">
        <f t="shared" si="11"/>
        <v>-2.0632737276479185E-3</v>
      </c>
      <c r="G44" s="93">
        <f t="shared" si="12"/>
        <v>6.6666666666665986E-3</v>
      </c>
      <c r="H44" s="93">
        <f t="shared" si="13"/>
        <v>2.2205773501111636E-3</v>
      </c>
      <c r="I44" s="93">
        <f t="shared" si="14"/>
        <v>1.4104372355430161E-3</v>
      </c>
      <c r="J44" s="93">
        <f t="shared" si="15"/>
        <v>5.1646223369914424E-3</v>
      </c>
      <c r="K44" s="94">
        <f t="shared" si="16"/>
        <v>-1.0638297872340496E-2</v>
      </c>
    </row>
    <row r="46" spans="1:11" ht="13.5" x14ac:dyDescent="0.25">
      <c r="A46" s="133" t="s">
        <v>67</v>
      </c>
      <c r="B46" s="134"/>
      <c r="C46" s="134"/>
    </row>
    <row r="47" spans="1:11" ht="38.25" x14ac:dyDescent="0.2">
      <c r="B47" s="66" t="s">
        <v>2</v>
      </c>
      <c r="C47" s="99" t="s">
        <v>15</v>
      </c>
      <c r="D47" s="100" t="s">
        <v>20</v>
      </c>
      <c r="E47" s="100" t="s">
        <v>21</v>
      </c>
      <c r="F47" s="100" t="s">
        <v>22</v>
      </c>
      <c r="G47" s="100" t="s">
        <v>23</v>
      </c>
      <c r="H47" s="100" t="s">
        <v>24</v>
      </c>
      <c r="I47" s="100" t="s">
        <v>25</v>
      </c>
      <c r="J47" s="100" t="s">
        <v>26</v>
      </c>
      <c r="K47" s="100" t="s">
        <v>27</v>
      </c>
    </row>
    <row r="48" spans="1:11" x14ac:dyDescent="0.2">
      <c r="A48" s="131" t="s">
        <v>62</v>
      </c>
      <c r="B48" s="87">
        <v>43800</v>
      </c>
      <c r="C48" s="88">
        <f>E5/'Cleaned Data'!P247-1</f>
        <v>2.0408163265306145E-2</v>
      </c>
      <c r="D48" s="90">
        <f>H5/'Cleaned Data'!U247-1</f>
        <v>-4.5602605863191981E-3</v>
      </c>
      <c r="E48" s="90">
        <f>K5/'Cleaned Data'!V247-1</f>
        <v>9.8383696416020072E-3</v>
      </c>
      <c r="F48" s="90">
        <f>N5/'Cleaned Data'!W247-1</f>
        <v>3.4411562284928365E-3</v>
      </c>
      <c r="G48" s="90">
        <f>Q5/'Cleaned Data'!X247-1</f>
        <v>3.3355570380253496E-3</v>
      </c>
      <c r="H48" s="90">
        <f>T5/'Cleaned Data'!Y247-1</f>
        <v>2.5276461295418828E-2</v>
      </c>
      <c r="I48" s="90">
        <f>W5/'Cleaned Data'!Z247-1</f>
        <v>1.4074595355384467E-3</v>
      </c>
      <c r="J48" s="90">
        <f>Z5/'Cleaned Data'!AA247-1</f>
        <v>1.2861736334404128E-3</v>
      </c>
      <c r="K48" s="91">
        <f>AC5/'Cleaned Data'!AB247-1</f>
        <v>7.1275837491091565E-4</v>
      </c>
    </row>
    <row r="49" spans="1:11" x14ac:dyDescent="0.2">
      <c r="A49" s="131"/>
      <c r="B49" s="87">
        <v>43831</v>
      </c>
      <c r="C49" s="92">
        <f>E6/E5 - 1</f>
        <v>-9.6774193548386789E-3</v>
      </c>
      <c r="D49" s="93">
        <f>H6/H5 - 1</f>
        <v>7.1989528795810553E-3</v>
      </c>
      <c r="E49" s="93">
        <f>K6/K5-1</f>
        <v>6.2630480167014113E-3</v>
      </c>
      <c r="F49" s="93">
        <f>N6/N5 - 1</f>
        <v>2.7434842249656199E-3</v>
      </c>
      <c r="G49" s="93">
        <f>Q6/Q5 - 1</f>
        <v>5.3191489361701372E-3</v>
      </c>
      <c r="H49" s="93">
        <f>T6/T5 - 1</f>
        <v>8.4745762711864181E-3</v>
      </c>
      <c r="I49" s="93">
        <f>W6/W5 - 1</f>
        <v>3.5137034434293835E-3</v>
      </c>
      <c r="J49" s="93">
        <f>Z6/Z5 - 1</f>
        <v>2.5690430314708745E-3</v>
      </c>
      <c r="K49" s="94">
        <f>AC6/AC5 - 1</f>
        <v>1.3532763532763559E-2</v>
      </c>
    </row>
    <row r="50" spans="1:11" x14ac:dyDescent="0.2">
      <c r="A50" s="131"/>
      <c r="B50" s="87">
        <v>43862</v>
      </c>
      <c r="C50" s="92">
        <f t="shared" ref="C50:C58" si="17">E7/E6 - 1</f>
        <v>-1.9543973941368087E-2</v>
      </c>
      <c r="D50" s="93">
        <f t="shared" ref="D50:D58" si="18">H7/H6 - 1</f>
        <v>5.8479532163742132E-3</v>
      </c>
      <c r="E50" s="93">
        <f t="shared" ref="E50:E58" si="19">K7/K6-1</f>
        <v>1.7980636237897585E-2</v>
      </c>
      <c r="F50" s="93">
        <f t="shared" ref="F50:F58" si="20">N7/N6 - 1</f>
        <v>1.3679890560875929E-3</v>
      </c>
      <c r="G50" s="93">
        <f t="shared" ref="G50:G58" si="21">Q7/Q6 - 1</f>
        <v>3.3068783068783691E-3</v>
      </c>
      <c r="H50" s="93">
        <f t="shared" ref="H50:H58" si="22">T7/T6 - 1</f>
        <v>-4.583651642475095E-3</v>
      </c>
      <c r="I50" s="93">
        <f t="shared" ref="I50:I58" si="23">W7/W6 - 1</f>
        <v>2.8011204481790397E-3</v>
      </c>
      <c r="J50" s="93">
        <f t="shared" ref="J50:J58" si="24">Z7/Z6 - 1</f>
        <v>6.4061499039080871E-4</v>
      </c>
      <c r="K50" s="94">
        <f t="shared" ref="K50:K58" si="25">AC7/AC6 - 1</f>
        <v>7.730147575544688E-3</v>
      </c>
    </row>
    <row r="51" spans="1:11" x14ac:dyDescent="0.2">
      <c r="A51" s="132" t="s">
        <v>63</v>
      </c>
      <c r="B51" s="87">
        <v>43891</v>
      </c>
      <c r="C51" s="88">
        <f t="shared" si="17"/>
        <v>-1.0631229235880335E-2</v>
      </c>
      <c r="D51" s="90">
        <f t="shared" si="18"/>
        <v>-1.9379844961241455E-3</v>
      </c>
      <c r="E51" s="90">
        <f t="shared" si="19"/>
        <v>1.1548913043478271E-2</v>
      </c>
      <c r="F51" s="90">
        <f t="shared" si="20"/>
        <v>0</v>
      </c>
      <c r="G51" s="90">
        <f t="shared" si="21"/>
        <v>3.9551746868822235E-3</v>
      </c>
      <c r="H51" s="90">
        <f t="shared" si="22"/>
        <v>-3.0698388334612359E-3</v>
      </c>
      <c r="I51" s="90">
        <f t="shared" si="23"/>
        <v>3.4916201117318746E-3</v>
      </c>
      <c r="J51" s="90">
        <f t="shared" si="24"/>
        <v>-6.4020486555693701E-4</v>
      </c>
      <c r="K51" s="91">
        <f t="shared" si="25"/>
        <v>1.2552301255229992E-2</v>
      </c>
    </row>
    <row r="52" spans="1:11" x14ac:dyDescent="0.2">
      <c r="A52" s="132"/>
      <c r="B52" s="87">
        <v>43922</v>
      </c>
      <c r="C52" s="92">
        <f t="shared" si="17"/>
        <v>1.6789791806581578E-2</v>
      </c>
      <c r="D52" s="93">
        <f t="shared" si="18"/>
        <v>7.119741100323651E-3</v>
      </c>
      <c r="E52" s="93">
        <f t="shared" si="19"/>
        <v>-3.2236400268636722E-2</v>
      </c>
      <c r="F52" s="93">
        <f t="shared" si="20"/>
        <v>0</v>
      </c>
      <c r="G52" s="93">
        <f t="shared" si="21"/>
        <v>-1.0505581089954141E-2</v>
      </c>
      <c r="H52" s="93">
        <f t="shared" si="22"/>
        <v>1.3086989992301623E-2</v>
      </c>
      <c r="I52" s="93">
        <f t="shared" si="23"/>
        <v>1.0670378102528355E-2</v>
      </c>
      <c r="J52" s="93">
        <f t="shared" si="24"/>
        <v>6.4061499039080871E-4</v>
      </c>
      <c r="K52" s="94">
        <f t="shared" si="25"/>
        <v>1.4692378328741817E-2</v>
      </c>
    </row>
    <row r="53" spans="1:11" x14ac:dyDescent="0.2">
      <c r="A53" s="132"/>
      <c r="B53" s="87">
        <v>43952</v>
      </c>
      <c r="C53" s="95">
        <f t="shared" si="17"/>
        <v>8.5865257595771904E-3</v>
      </c>
      <c r="D53" s="97">
        <f t="shared" si="18"/>
        <v>-2.5706940874036244E-3</v>
      </c>
      <c r="E53" s="97">
        <f t="shared" si="19"/>
        <v>-7.6335877862595547E-3</v>
      </c>
      <c r="F53" s="97">
        <f t="shared" si="20"/>
        <v>0</v>
      </c>
      <c r="G53" s="97">
        <f t="shared" si="21"/>
        <v>1.2276045122760593E-2</v>
      </c>
      <c r="H53" s="97">
        <f t="shared" si="22"/>
        <v>2.5835866261398222E-2</v>
      </c>
      <c r="I53" s="97">
        <f t="shared" si="23"/>
        <v>2.1115446408079164E-2</v>
      </c>
      <c r="J53" s="97">
        <f t="shared" si="24"/>
        <v>1.2804097311140961E-3</v>
      </c>
      <c r="K53" s="98">
        <f t="shared" si="25"/>
        <v>2.8959276018099667E-2</v>
      </c>
    </row>
    <row r="54" spans="1:11" x14ac:dyDescent="0.2">
      <c r="A54" s="131" t="s">
        <v>64</v>
      </c>
      <c r="B54" s="87">
        <v>43983</v>
      </c>
      <c r="C54" s="92">
        <f t="shared" si="17"/>
        <v>8.5134250163720893E-3</v>
      </c>
      <c r="D54" s="93">
        <f t="shared" si="18"/>
        <v>-3.221649484536071E-3</v>
      </c>
      <c r="E54" s="93">
        <f t="shared" si="19"/>
        <v>-7.692307692307665E-3</v>
      </c>
      <c r="F54" s="93">
        <f t="shared" si="20"/>
        <v>0</v>
      </c>
      <c r="G54" s="93">
        <f t="shared" si="21"/>
        <v>1.2127171419206828E-2</v>
      </c>
      <c r="H54" s="93">
        <f t="shared" si="22"/>
        <v>0</v>
      </c>
      <c r="I54" s="93">
        <f t="shared" si="23"/>
        <v>0</v>
      </c>
      <c r="J54" s="93">
        <f t="shared" si="24"/>
        <v>0</v>
      </c>
      <c r="K54" s="94">
        <f t="shared" si="25"/>
        <v>0</v>
      </c>
    </row>
    <row r="55" spans="1:11" x14ac:dyDescent="0.2">
      <c r="A55" s="131"/>
      <c r="B55" s="87">
        <v>44013</v>
      </c>
      <c r="C55" s="92">
        <f t="shared" si="17"/>
        <v>0</v>
      </c>
      <c r="D55" s="93">
        <f t="shared" si="18"/>
        <v>0</v>
      </c>
      <c r="E55" s="93">
        <f t="shared" si="19"/>
        <v>0</v>
      </c>
      <c r="F55" s="93">
        <f t="shared" si="20"/>
        <v>0</v>
      </c>
      <c r="G55" s="93">
        <f t="shared" si="21"/>
        <v>0</v>
      </c>
      <c r="H55" s="93">
        <f t="shared" si="22"/>
        <v>0</v>
      </c>
      <c r="I55" s="93">
        <f t="shared" si="23"/>
        <v>0</v>
      </c>
      <c r="J55" s="93">
        <f t="shared" si="24"/>
        <v>0</v>
      </c>
      <c r="K55" s="94">
        <f t="shared" si="25"/>
        <v>0</v>
      </c>
    </row>
    <row r="56" spans="1:11" x14ac:dyDescent="0.2">
      <c r="A56" s="131"/>
      <c r="B56" s="87">
        <v>44044</v>
      </c>
      <c r="C56" s="92">
        <f t="shared" si="17"/>
        <v>1.9480519480519431E-2</v>
      </c>
      <c r="D56" s="93">
        <f t="shared" si="18"/>
        <v>5.1712992889463294E-3</v>
      </c>
      <c r="E56" s="93">
        <f t="shared" si="19"/>
        <v>7.7519379844961378E-3</v>
      </c>
      <c r="F56" s="93">
        <f t="shared" si="20"/>
        <v>1.3661202185792254E-2</v>
      </c>
      <c r="G56" s="93">
        <f t="shared" si="21"/>
        <v>3.8860103626943143E-3</v>
      </c>
      <c r="H56" s="93">
        <f t="shared" si="22"/>
        <v>2.5925925925925908E-2</v>
      </c>
      <c r="I56" s="93">
        <f t="shared" si="23"/>
        <v>-1.5509103169251581E-2</v>
      </c>
      <c r="J56" s="93">
        <f t="shared" si="24"/>
        <v>1.3427109974424534E-2</v>
      </c>
      <c r="K56" s="94">
        <f t="shared" si="25"/>
        <v>1.7810026385224331E-2</v>
      </c>
    </row>
    <row r="57" spans="1:11" x14ac:dyDescent="0.2">
      <c r="A57" s="131"/>
      <c r="B57" s="87">
        <v>44075</v>
      </c>
      <c r="C57" s="92">
        <f t="shared" si="17"/>
        <v>6.3694267515923553E-3</v>
      </c>
      <c r="D57" s="93">
        <f t="shared" si="18"/>
        <v>5.1446945337620953E-3</v>
      </c>
      <c r="E57" s="93">
        <f t="shared" si="19"/>
        <v>-6.9930069930068672E-4</v>
      </c>
      <c r="F57" s="93">
        <f t="shared" si="20"/>
        <v>2.0215633423179558E-3</v>
      </c>
      <c r="G57" s="93">
        <f t="shared" si="21"/>
        <v>3.870967741935516E-3</v>
      </c>
      <c r="H57" s="93">
        <f t="shared" si="22"/>
        <v>7.9422382671479053E-3</v>
      </c>
      <c r="I57" s="93">
        <f t="shared" si="23"/>
        <v>4.109589041095818E-3</v>
      </c>
      <c r="J57" s="93">
        <f t="shared" si="24"/>
        <v>-6.3091482649841879E-3</v>
      </c>
      <c r="K57" s="94">
        <f t="shared" si="25"/>
        <v>2.657161373946848E-2</v>
      </c>
    </row>
    <row r="58" spans="1:11" x14ac:dyDescent="0.2">
      <c r="A58" s="131"/>
      <c r="B58" s="87">
        <v>44105</v>
      </c>
      <c r="C58" s="95">
        <f t="shared" si="17"/>
        <v>2.1518987341772267E-2</v>
      </c>
      <c r="D58" s="97">
        <f t="shared" si="18"/>
        <v>1.2795905310301059E-3</v>
      </c>
      <c r="E58" s="97">
        <f t="shared" si="19"/>
        <v>1.3995801259620855E-3</v>
      </c>
      <c r="F58" s="97">
        <f t="shared" si="20"/>
        <v>0</v>
      </c>
      <c r="G58" s="97">
        <f t="shared" si="21"/>
        <v>4.4987146529564814E-3</v>
      </c>
      <c r="H58" s="97">
        <f t="shared" si="22"/>
        <v>7.1633237822350537E-3</v>
      </c>
      <c r="I58" s="97">
        <f t="shared" si="23"/>
        <v>-6.8212824010904782E-4</v>
      </c>
      <c r="J58" s="97">
        <f t="shared" si="24"/>
        <v>6.3492063492063266E-3</v>
      </c>
      <c r="K58" s="98">
        <f t="shared" si="25"/>
        <v>-8.8383838383838675E-3</v>
      </c>
    </row>
  </sheetData>
  <mergeCells count="24">
    <mergeCell ref="AA3:AC3"/>
    <mergeCell ref="A5:A7"/>
    <mergeCell ref="A8:A10"/>
    <mergeCell ref="A11:A15"/>
    <mergeCell ref="C3:E3"/>
    <mergeCell ref="F3:H3"/>
    <mergeCell ref="I3:K3"/>
    <mergeCell ref="L3:N3"/>
    <mergeCell ref="O3:Q3"/>
    <mergeCell ref="R3:T3"/>
    <mergeCell ref="A20:A22"/>
    <mergeCell ref="A23:A25"/>
    <mergeCell ref="A18:C18"/>
    <mergeCell ref="U3:W3"/>
    <mergeCell ref="X3:Z3"/>
    <mergeCell ref="A48:A50"/>
    <mergeCell ref="A51:A53"/>
    <mergeCell ref="A54:A58"/>
    <mergeCell ref="A26:A30"/>
    <mergeCell ref="A32:C32"/>
    <mergeCell ref="A34:A36"/>
    <mergeCell ref="A37:A39"/>
    <mergeCell ref="A40:A44"/>
    <mergeCell ref="A46:C46"/>
  </mergeCells>
  <conditionalFormatting sqref="C20:C30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C4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C5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4:D4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8:D5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:E3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:E4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5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F3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4:F4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8:F5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:G3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4:G4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8:G5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0:H3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4:H4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8:H5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:I3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4:I4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8:I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:J3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4:J4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8:J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0:K3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4:K4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8:K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6097-E5F8-44C1-A581-F9A2487D36B0}">
  <dimension ref="A1:P30"/>
  <sheetViews>
    <sheetView workbookViewId="0">
      <selection activeCell="K5" sqref="K5"/>
    </sheetView>
  </sheetViews>
  <sheetFormatPr defaultRowHeight="12.75" x14ac:dyDescent="0.2"/>
  <cols>
    <col min="1" max="1" width="13.7109375" customWidth="1"/>
    <col min="2" max="2" width="12" customWidth="1"/>
    <col min="3" max="3" width="21.85546875" customWidth="1"/>
    <col min="4" max="4" width="16.28515625" customWidth="1"/>
    <col min="5" max="5" width="30.5703125" customWidth="1"/>
    <col min="8" max="8" width="31.85546875" customWidth="1"/>
    <col min="9" max="9" width="17.85546875" customWidth="1"/>
    <col min="10" max="10" width="13.28515625" customWidth="1"/>
    <col min="15" max="15" width="13.85546875" customWidth="1"/>
    <col min="16" max="16" width="10.5703125" bestFit="1" customWidth="1"/>
  </cols>
  <sheetData>
    <row r="1" spans="1:9" x14ac:dyDescent="0.2">
      <c r="A1" t="s">
        <v>71</v>
      </c>
    </row>
    <row r="2" spans="1:9" x14ac:dyDescent="0.2">
      <c r="A2" s="105" t="s">
        <v>75</v>
      </c>
    </row>
    <row r="3" spans="1:9" x14ac:dyDescent="0.2">
      <c r="A3" s="108" t="s">
        <v>68</v>
      </c>
      <c r="B3" s="108" t="s">
        <v>69</v>
      </c>
      <c r="C3" s="109" t="s">
        <v>50</v>
      </c>
      <c r="D3" s="109" t="s">
        <v>72</v>
      </c>
      <c r="E3" s="109" t="s">
        <v>73</v>
      </c>
      <c r="F3" s="110" t="s">
        <v>74</v>
      </c>
      <c r="H3" s="114" t="s">
        <v>76</v>
      </c>
      <c r="I3" s="114" t="s">
        <v>77</v>
      </c>
    </row>
    <row r="4" spans="1:9" ht="15" x14ac:dyDescent="0.25">
      <c r="A4" s="106">
        <v>44317</v>
      </c>
      <c r="B4">
        <v>0</v>
      </c>
      <c r="C4">
        <v>0</v>
      </c>
      <c r="D4">
        <v>0</v>
      </c>
      <c r="E4">
        <v>0</v>
      </c>
      <c r="F4">
        <v>0</v>
      </c>
      <c r="H4" s="112" t="s">
        <v>50</v>
      </c>
      <c r="I4" s="113">
        <f>CORREL($B$5:$B$28,$C$5:$C$28)</f>
        <v>-4.058632508134501E-3</v>
      </c>
    </row>
    <row r="5" spans="1:9" ht="15" x14ac:dyDescent="0.25">
      <c r="A5" s="107">
        <v>44348</v>
      </c>
      <c r="B5" s="28">
        <f>'Imported Oil Prices'!B4/'Imported Oil Prices'!B3-1</f>
        <v>6.8208761023565323E-2</v>
      </c>
      <c r="C5" s="28">
        <f>'Imported Oil Prices'!C4/'Imported Oil Prices'!C3-1</f>
        <v>1.1823273179838223E-2</v>
      </c>
      <c r="D5" s="28">
        <f>'Imported Oil Prices'!D4/'Imported Oil Prices'!D3-1</f>
        <v>2.5094102885823144E-3</v>
      </c>
      <c r="E5" s="28">
        <f>'Imported Oil Prices'!E4/'Imported Oil Prices'!E3-1</f>
        <v>1.2088650100738674E-2</v>
      </c>
      <c r="F5" s="28">
        <f ca="1">'Imported Oil Prices'!F4/'Imported Oil Prices'!F3-1</f>
        <v>-1.7409470752088874E-3</v>
      </c>
      <c r="H5" s="112" t="s">
        <v>72</v>
      </c>
      <c r="I5" s="113">
        <f>CORREL($B$5:$B$28,$D$5:$D$28)</f>
        <v>-7.5638542922081317E-2</v>
      </c>
    </row>
    <row r="6" spans="1:9" ht="15" x14ac:dyDescent="0.25">
      <c r="A6" s="106">
        <v>44378</v>
      </c>
      <c r="B6" s="28">
        <f>'Imported Oil Prices'!B5/'Imported Oil Prices'!B4-1</f>
        <v>-5.522486121500858E-3</v>
      </c>
      <c r="C6" s="28">
        <f>'Imported Oil Prices'!C5/'Imported Oil Prices'!C4-1</f>
        <v>8.610086100861114E-3</v>
      </c>
      <c r="D6" s="28">
        <f>'Imported Oil Prices'!D5/'Imported Oil Prices'!D4-1</f>
        <v>5.632040050062459E-3</v>
      </c>
      <c r="E6" s="28">
        <f>'Imported Oil Prices'!E5/'Imported Oil Prices'!E4-1</f>
        <v>1.5925680159256883E-2</v>
      </c>
      <c r="F6" s="28">
        <f ca="1">'Imported Oil Prices'!F5/'Imported Oil Prices'!F4-1</f>
        <v>4.7959539588420252E-3</v>
      </c>
      <c r="H6" s="112" t="s">
        <v>73</v>
      </c>
      <c r="I6" s="113">
        <f>CORREL($B$5:$B$28,$E$5:$E$28)</f>
        <v>0.15330025551469229</v>
      </c>
    </row>
    <row r="7" spans="1:9" ht="15" x14ac:dyDescent="0.25">
      <c r="A7" s="107">
        <v>44409</v>
      </c>
      <c r="B7" s="28">
        <f>'Imported Oil Prices'!B6/'Imported Oil Prices'!B5-1</f>
        <v>-3.6768356361447041E-2</v>
      </c>
      <c r="C7" s="28">
        <f>'Imported Oil Prices'!C6/'Imported Oil Prices'!C5-1</f>
        <v>0</v>
      </c>
      <c r="D7" s="28">
        <f>'Imported Oil Prices'!D6/'Imported Oil Prices'!D5-1</f>
        <v>1.1823273179838223E-2</v>
      </c>
      <c r="E7" s="28">
        <f>'Imported Oil Prices'!E6/'Imported Oil Prices'!E5-1</f>
        <v>5.878510777269863E-3</v>
      </c>
      <c r="F7" s="28">
        <f ca="1">'Imported Oil Prices'!F6/'Imported Oil Prices'!F5-1</f>
        <v>7.4633342011629633E-3</v>
      </c>
      <c r="H7" s="111" t="s">
        <v>74</v>
      </c>
      <c r="I7" s="113">
        <f ca="1">CORREL($B$5:$B$28,$F$5:$F$28)</f>
        <v>-7.4202607899786388E-2</v>
      </c>
    </row>
    <row r="8" spans="1:9" ht="15" x14ac:dyDescent="0.25">
      <c r="A8" s="106">
        <v>44440</v>
      </c>
      <c r="B8" s="28">
        <f>'Imported Oil Prices'!B7/'Imported Oil Prices'!B6-1</f>
        <v>5.5560572246803996E-2</v>
      </c>
      <c r="C8" s="28">
        <f>'Imported Oil Prices'!C7/'Imported Oil Prices'!C6-1</f>
        <v>0</v>
      </c>
      <c r="D8" s="28">
        <f>'Imported Oil Prices'!D7/'Imported Oil Prices'!D6-1</f>
        <v>0</v>
      </c>
      <c r="E8" s="28">
        <f>'Imported Oil Prices'!E7/'Imported Oil Prices'!E6-1</f>
        <v>0</v>
      </c>
      <c r="F8" s="28">
        <f ca="1">'Imported Oil Prices'!F7/'Imported Oil Prices'!F6-1</f>
        <v>1.7228012748726762E-4</v>
      </c>
    </row>
    <row r="9" spans="1:9" ht="15" x14ac:dyDescent="0.25">
      <c r="A9" s="107">
        <v>44470</v>
      </c>
      <c r="B9" s="28">
        <f>'Imported Oil Prices'!B8/'Imported Oil Prices'!B7-1</f>
        <v>9.1262760817670152E-2</v>
      </c>
      <c r="C9" s="28">
        <f>'Imported Oil Prices'!C8/'Imported Oil Prices'!C7-1</f>
        <v>2.2560975609756007E-2</v>
      </c>
      <c r="D9" s="28">
        <f>'Imported Oil Prices'!D8/'Imported Oil Prices'!D7-1</f>
        <v>9.8400984009838766E-3</v>
      </c>
      <c r="E9" s="28">
        <f>'Imported Oil Prices'!E8/'Imported Oil Prices'!E7-1</f>
        <v>1.1038961038960959E-2</v>
      </c>
      <c r="F9" s="28">
        <f ca="1">'Imported Oil Prices'!F8/'Imported Oil Prices'!F7-1</f>
        <v>5.5120144690379291E-3</v>
      </c>
    </row>
    <row r="10" spans="1:9" ht="15" x14ac:dyDescent="0.25">
      <c r="A10" s="106">
        <v>44501</v>
      </c>
      <c r="B10" s="28">
        <f>'Imported Oil Prices'!B9/'Imported Oil Prices'!B8-1</f>
        <v>-6.6879657286945449E-2</v>
      </c>
      <c r="C10" s="28">
        <f>'Imported Oil Prices'!C9/'Imported Oil Prices'!C8-1</f>
        <v>1.1926058437686349E-2</v>
      </c>
      <c r="D10" s="28">
        <f>'Imported Oil Prices'!D9/'Imported Oil Prices'!D8-1</f>
        <v>-1.8270401948842219E-3</v>
      </c>
      <c r="E10" s="28">
        <f>'Imported Oil Prices'!E9/'Imported Oil Prices'!E8-1</f>
        <v>-5.7803468208090791E-3</v>
      </c>
      <c r="F10" s="28">
        <f ca="1">'Imported Oil Prices'!F9/'Imported Oil Prices'!F8-1</f>
        <v>5.6531049250536647E-3</v>
      </c>
    </row>
    <row r="11" spans="1:9" ht="15" x14ac:dyDescent="0.25">
      <c r="A11" s="107">
        <v>44531</v>
      </c>
      <c r="B11" s="28">
        <f>'Imported Oil Prices'!B10/'Imported Oil Prices'!B9-1</f>
        <v>-1.7844285278435734E-2</v>
      </c>
      <c r="C11" s="28">
        <f>'Imported Oil Prices'!C10/'Imported Oil Prices'!C9-1</f>
        <v>-8.8391278727165679E-3</v>
      </c>
      <c r="D11" s="28">
        <f>'Imported Oil Prices'!D10/'Imported Oil Prices'!D9-1</f>
        <v>1.2202562538132788E-3</v>
      </c>
      <c r="E11" s="28">
        <f>'Imported Oil Prices'!E10/'Imported Oil Prices'!E9-1</f>
        <v>5.8139534883718813E-3</v>
      </c>
      <c r="F11" s="28">
        <f ca="1">'Imported Oil Prices'!F10/'Imported Oil Prices'!F9-1</f>
        <v>2.2996337620304619E-3</v>
      </c>
    </row>
    <row r="12" spans="1:9" ht="15" x14ac:dyDescent="0.25">
      <c r="A12" s="106">
        <v>44562</v>
      </c>
      <c r="B12" s="28">
        <f>'Imported Oil Prices'!B11/'Imported Oil Prices'!B10-1</f>
        <v>0.2735877591247402</v>
      </c>
      <c r="C12" s="28">
        <f>'Imported Oil Prices'!C11/'Imported Oil Prices'!C10-1</f>
        <v>-1.0701545778834642E-2</v>
      </c>
      <c r="D12" s="28">
        <f>'Imported Oil Prices'!D11/'Imported Oil Prices'!D10-1</f>
        <v>6.0938452163306067E-4</v>
      </c>
      <c r="E12" s="28">
        <f>'Imported Oil Prices'!E11/'Imported Oil Prices'!E10-1</f>
        <v>5.138086062941527E-3</v>
      </c>
      <c r="F12" s="28">
        <f ca="1">'Imported Oil Prices'!F11/'Imported Oil Prices'!F10-1</f>
        <v>4.3337865397690134E-3</v>
      </c>
    </row>
    <row r="13" spans="1:9" ht="15" x14ac:dyDescent="0.25">
      <c r="A13" s="107">
        <v>44593</v>
      </c>
      <c r="B13" s="28">
        <f>'Imported Oil Prices'!B12/'Imported Oil Prices'!B11-1</f>
        <v>5.0200817561816269E-2</v>
      </c>
      <c r="C13" s="28">
        <f>'Imported Oil Prices'!C12/'Imported Oil Prices'!C11-1</f>
        <v>-1.2019230769231282E-3</v>
      </c>
      <c r="D13" s="28">
        <f>'Imported Oil Prices'!D12/'Imported Oil Prices'!D11-1</f>
        <v>9.1352009744214424E-3</v>
      </c>
      <c r="E13" s="28">
        <f>'Imported Oil Prices'!E12/'Imported Oil Prices'!E11-1</f>
        <v>2.5559105431309792E-3</v>
      </c>
      <c r="F13" s="28">
        <f ca="1">'Imported Oil Prices'!F12/'Imported Oil Prices'!F11-1</f>
        <v>5.4996192571283853E-3</v>
      </c>
    </row>
    <row r="14" spans="1:9" ht="15" x14ac:dyDescent="0.25">
      <c r="A14" s="106">
        <v>44621</v>
      </c>
      <c r="B14" s="28">
        <f>'Imported Oil Prices'!B13/'Imported Oil Prices'!B12-1</f>
        <v>7.8044271273007393E-2</v>
      </c>
      <c r="C14" s="28">
        <f>'Imported Oil Prices'!C13/'Imported Oil Prices'!C12-1</f>
        <v>1.3237063778580138E-2</v>
      </c>
      <c r="D14" s="28">
        <f>'Imported Oil Prices'!D13/'Imported Oil Prices'!D12-1</f>
        <v>9.0525045262521697E-3</v>
      </c>
      <c r="E14" s="28">
        <f>'Imported Oil Prices'!E13/'Imported Oil Prices'!E12-1</f>
        <v>6.3734862970044048E-3</v>
      </c>
      <c r="F14" s="28">
        <f ca="1">'Imported Oil Prices'!F13/'Imported Oil Prices'!F12-1</f>
        <v>6.7317401548301348E-3</v>
      </c>
    </row>
    <row r="15" spans="1:9" ht="15" x14ac:dyDescent="0.25">
      <c r="A15" s="107">
        <v>44652</v>
      </c>
      <c r="B15" s="28">
        <f>'Imported Oil Prices'!B14/'Imported Oil Prices'!B13-1</f>
        <v>-1.3238594712490559E-2</v>
      </c>
      <c r="C15" s="28">
        <f>'Imported Oil Prices'!C14/'Imported Oil Prices'!C13-1</f>
        <v>1.4251781472684133E-2</v>
      </c>
      <c r="D15" s="28">
        <f>'Imported Oil Prices'!D14/'Imported Oil Prices'!D13-1</f>
        <v>2.9904306220095656E-2</v>
      </c>
      <c r="E15" s="28">
        <f>'Imported Oil Prices'!E14/'Imported Oil Prices'!E13-1</f>
        <v>2.9765674477517434E-2</v>
      </c>
      <c r="F15" s="28">
        <f ca="1">'Imported Oil Prices'!F14/'Imported Oil Prices'!F13-1</f>
        <v>7.1046472751585821E-3</v>
      </c>
    </row>
    <row r="16" spans="1:9" ht="15" x14ac:dyDescent="0.25">
      <c r="A16" s="106">
        <v>44682</v>
      </c>
      <c r="B16" s="28">
        <f>'Imported Oil Prices'!B15/'Imported Oil Prices'!B14-1</f>
        <v>3.1155724390221851E-2</v>
      </c>
      <c r="C16" s="28">
        <f>'Imported Oil Prices'!C15/'Imported Oil Prices'!C14-1</f>
        <v>1.4637002341920446E-2</v>
      </c>
      <c r="D16" s="28">
        <f>'Imported Oil Prices'!D15/'Imported Oil Prices'!D14-1</f>
        <v>1.3937282229965264E-2</v>
      </c>
      <c r="E16" s="28">
        <f>'Imported Oil Prices'!E15/'Imported Oil Prices'!E14-1</f>
        <v>2.4600246002459691E-3</v>
      </c>
      <c r="F16" s="28">
        <f ca="1">'Imported Oil Prices'!F15/'Imported Oil Prices'!F14-1</f>
        <v>3.9837330898830903E-3</v>
      </c>
    </row>
    <row r="17" spans="1:16" ht="15" x14ac:dyDescent="0.25">
      <c r="A17" s="107">
        <v>44713</v>
      </c>
      <c r="B17" s="28">
        <f>'Imported Oil Prices'!B16/'Imported Oil Prices'!B15-1</f>
        <v>1.0806412359042117E-2</v>
      </c>
      <c r="C17" s="28">
        <f>'Imported Oil Prices'!C16/'Imported Oil Prices'!C15-1</f>
        <v>9.2325447201384581E-3</v>
      </c>
      <c r="D17" s="28">
        <f>'Imported Oil Prices'!D16/'Imported Oil Prices'!D15-1</f>
        <v>8.0183276059564434E-3</v>
      </c>
      <c r="E17" s="28">
        <f>'Imported Oil Prices'!E16/'Imported Oil Prices'!E15-1</f>
        <v>-1.1656441717791455E-2</v>
      </c>
      <c r="F17" s="28">
        <f ca="1">'Imported Oil Prices'!F16/'Imported Oil Prices'!F15-1</f>
        <v>3.6372654377119229E-3</v>
      </c>
    </row>
    <row r="18" spans="1:16" ht="15" x14ac:dyDescent="0.25">
      <c r="A18" s="106">
        <v>44743</v>
      </c>
      <c r="B18" s="28">
        <f>'Imported Oil Prices'!B17/'Imported Oil Prices'!B16-1</f>
        <v>-7.1653591466245836E-2</v>
      </c>
      <c r="C18" s="28">
        <f>'Imported Oil Prices'!C17/'Imported Oil Prices'!C16-1</f>
        <v>5.7175528873631976E-4</v>
      </c>
      <c r="D18" s="28">
        <f>'Imported Oil Prices'!D17/'Imported Oil Prices'!D16-1</f>
        <v>2.0454545454545503E-2</v>
      </c>
      <c r="E18" s="28">
        <f>'Imported Oil Prices'!E17/'Imported Oil Prices'!E16-1</f>
        <v>3.1036623215394687E-3</v>
      </c>
      <c r="F18" s="28">
        <f ca="1">'Imported Oil Prices'!F17/'Imported Oil Prices'!F16-1</f>
        <v>4.2006424511984441E-3</v>
      </c>
    </row>
    <row r="19" spans="1:16" ht="15" x14ac:dyDescent="0.25">
      <c r="A19" s="107">
        <v>44774</v>
      </c>
      <c r="B19" s="28">
        <f>'Imported Oil Prices'!B18/'Imported Oil Prices'!B17-1</f>
        <v>-3.09231954123248E-2</v>
      </c>
      <c r="C19" s="28">
        <f>'Imported Oil Prices'!C18/'Imported Oil Prices'!C17-1</f>
        <v>7.4285714285715621E-3</v>
      </c>
      <c r="D19" s="28">
        <f>'Imported Oil Prices'!D18/'Imported Oil Prices'!D17-1</f>
        <v>-4.4543429844097204E-3</v>
      </c>
      <c r="E19" s="28">
        <f>'Imported Oil Prices'!E18/'Imported Oil Prices'!E17-1</f>
        <v>1.8564356435644136E-3</v>
      </c>
      <c r="F19" s="28">
        <f ca="1">'Imported Oil Prices'!F18/'Imported Oil Prices'!F17-1</f>
        <v>5.4954068241468423E-3</v>
      </c>
    </row>
    <row r="20" spans="1:16" ht="15" x14ac:dyDescent="0.25">
      <c r="A20" s="106">
        <v>44805</v>
      </c>
      <c r="B20" s="28">
        <f>'Imported Oil Prices'!B19/'Imported Oil Prices'!B18-1</f>
        <v>-7.0007475041044098E-2</v>
      </c>
      <c r="C20" s="28">
        <f>'Imported Oil Prices'!C19/'Imported Oil Prices'!C18-1</f>
        <v>8.5082246171299669E-3</v>
      </c>
      <c r="D20" s="28">
        <f>'Imported Oil Prices'!D19/'Imported Oil Prices'!D18-1</f>
        <v>3.9149888143175104E-3</v>
      </c>
      <c r="E20" s="28">
        <f>'Imported Oil Prices'!E19/'Imported Oil Prices'!E18-1</f>
        <v>2.4706609017912662E-3</v>
      </c>
      <c r="F20" s="28">
        <f ca="1">'Imported Oil Prices'!F19/'Imported Oil Prices'!F18-1</f>
        <v>4.2417815482505006E-3</v>
      </c>
    </row>
    <row r="21" spans="1:16" ht="15" x14ac:dyDescent="0.25">
      <c r="A21" s="107">
        <v>44835</v>
      </c>
      <c r="B21" s="28">
        <f>'Imported Oil Prices'!B20/'Imported Oil Prices'!B19-1</f>
        <v>2.9768299911005158E-2</v>
      </c>
      <c r="C21" s="28">
        <f>'Imported Oil Prices'!C20/'Imported Oil Prices'!C19-1</f>
        <v>1.0123734533183271E-2</v>
      </c>
      <c r="D21" s="28">
        <f>'Imported Oil Prices'!D20/'Imported Oil Prices'!D19-1</f>
        <v>5.5710306406684396E-3</v>
      </c>
      <c r="E21" s="28">
        <f>'Imported Oil Prices'!E20/'Imported Oil Prices'!E19-1</f>
        <v>3.6968576709797141E-3</v>
      </c>
      <c r="F21" s="28">
        <f ca="1">'Imported Oil Prices'!F20/'Imported Oil Prices'!F19-1</f>
        <v>5.5235155551942583E-3</v>
      </c>
    </row>
    <row r="22" spans="1:16" ht="15" x14ac:dyDescent="0.25">
      <c r="A22" s="106">
        <v>44866</v>
      </c>
      <c r="B22" s="28">
        <f>'Imported Oil Prices'!B21/'Imported Oil Prices'!B20-1</f>
        <v>-4.3213734008568871E-2</v>
      </c>
      <c r="C22" s="28">
        <f>'Imported Oil Prices'!C21/'Imported Oil Prices'!C20-1</f>
        <v>-7.2383073496657957E-3</v>
      </c>
      <c r="D22" s="28">
        <f>'Imported Oil Prices'!D21/'Imported Oil Prices'!D20-1</f>
        <v>4.4321329639889218E-3</v>
      </c>
      <c r="E22" s="28">
        <f>'Imported Oil Prices'!E21/'Imported Oil Prices'!E20-1</f>
        <v>6.1387354205022504E-4</v>
      </c>
      <c r="F22" s="28">
        <f ca="1">'Imported Oil Prices'!F21/'Imported Oil Prices'!F20-1</f>
        <v>5.0084821067939433E-3</v>
      </c>
    </row>
    <row r="23" spans="1:16" ht="15" x14ac:dyDescent="0.25">
      <c r="A23" s="107">
        <v>44896</v>
      </c>
      <c r="B23" s="28">
        <f>'Imported Oil Prices'!B22/'Imported Oil Prices'!B21-1</f>
        <v>-5.1001907150508008E-2</v>
      </c>
      <c r="C23" s="28">
        <f>'Imported Oil Prices'!C22/'Imported Oil Prices'!C21-1</f>
        <v>-1.346045989904654E-2</v>
      </c>
      <c r="D23" s="28">
        <f>'Imported Oil Prices'!D22/'Imported Oil Prices'!D21-1</f>
        <v>3.8610038610038533E-3</v>
      </c>
      <c r="E23" s="28">
        <f>'Imported Oil Prices'!E22/'Imported Oil Prices'!E21-1</f>
        <v>2.4539877300613355E-3</v>
      </c>
      <c r="F23" s="28">
        <f ca="1">'Imported Oil Prices'!F22/'Imported Oil Prices'!F21-1</f>
        <v>3.8582107547622257E-3</v>
      </c>
    </row>
    <row r="24" spans="1:16" ht="15" x14ac:dyDescent="0.25">
      <c r="A24" s="106">
        <v>44927</v>
      </c>
      <c r="B24" s="28">
        <f>'Imported Oil Prices'!B23/'Imported Oil Prices'!B22-1</f>
        <v>-4.253004113154768E-2</v>
      </c>
      <c r="C24" s="28">
        <f>'Imported Oil Prices'!C23/'Imported Oil Prices'!C22-1</f>
        <v>4.5480386583285348E-3</v>
      </c>
      <c r="D24" s="28">
        <f>'Imported Oil Prices'!D23/'Imported Oil Prices'!D22-1</f>
        <v>0</v>
      </c>
      <c r="E24" s="28">
        <f>'Imported Oil Prices'!E23/'Imported Oil Prices'!E22-1</f>
        <v>1.2239902080781739E-3</v>
      </c>
      <c r="F24" s="28">
        <f ca="1">'Imported Oil Prices'!F23/'Imported Oil Prices'!F22-1</f>
        <v>6.8059892705580882E-3</v>
      </c>
    </row>
    <row r="25" spans="1:16" ht="15" x14ac:dyDescent="0.25">
      <c r="A25" s="107">
        <v>44958</v>
      </c>
      <c r="B25" s="28">
        <f>'Imported Oil Prices'!B24/'Imported Oil Prices'!B23-1</f>
        <v>-1.7771318413205117E-2</v>
      </c>
      <c r="C25" s="28">
        <f>'Imported Oil Prices'!C24/'Imported Oil Prices'!C23-1</f>
        <v>1.6977928692700761E-3</v>
      </c>
      <c r="D25" s="28">
        <f>'Imported Oil Prices'!D24/'Imported Oil Prices'!D23-1</f>
        <v>5.494505494505475E-4</v>
      </c>
      <c r="E25" s="28">
        <f>'Imported Oil Prices'!E24/'Imported Oil Prices'!E23-1</f>
        <v>3.6674816625916762E-3</v>
      </c>
      <c r="F25" s="28">
        <f ca="1">'Imported Oil Prices'!F24/'Imported Oil Prices'!F23-1</f>
        <v>8.4300938444410445E-3</v>
      </c>
    </row>
    <row r="26" spans="1:16" ht="15" x14ac:dyDescent="0.25">
      <c r="A26" s="106">
        <v>44986</v>
      </c>
      <c r="B26" s="28">
        <f>'Imported Oil Prices'!B25/'Imported Oil Prices'!B24-1</f>
        <v>-5.3205693763778705E-2</v>
      </c>
      <c r="C26" s="28">
        <f>'Imported Oil Prices'!C25/'Imported Oil Prices'!C24-1</f>
        <v>0</v>
      </c>
      <c r="D26" s="28">
        <f>'Imported Oil Prices'!D25/'Imported Oil Prices'!D24-1</f>
        <v>-1.0982976386599841E-3</v>
      </c>
      <c r="E26" s="28">
        <f>'Imported Oil Prices'!E25/'Imported Oil Prices'!E24-1</f>
        <v>0</v>
      </c>
      <c r="F26" s="28">
        <f ca="1">'Imported Oil Prices'!F25/'Imported Oil Prices'!F24-1</f>
        <v>0</v>
      </c>
    </row>
    <row r="27" spans="1:16" ht="15" x14ac:dyDescent="0.25">
      <c r="A27" s="107">
        <v>45017</v>
      </c>
      <c r="B27" s="28">
        <f>'Imported Oil Prices'!B26/'Imported Oil Prices'!B25-1</f>
        <v>6.1861548664289723E-2</v>
      </c>
      <c r="C27" s="28">
        <f>'Imported Oil Prices'!C26/'Imported Oil Prices'!C25-1</f>
        <v>5.0847457627118953E-3</v>
      </c>
      <c r="D27" s="28">
        <f>'Imported Oil Prices'!D26/'Imported Oil Prices'!D25-1</f>
        <v>-1.0995052226498991E-3</v>
      </c>
      <c r="E27" s="28">
        <f>'Imported Oil Prices'!E26/'Imported Oil Prices'!E25-1</f>
        <v>1.8270401948843329E-3</v>
      </c>
      <c r="F27" s="28">
        <f ca="1">'Imported Oil Prices'!F26/'Imported Oil Prices'!F25-1</f>
        <v>6.1514195583596276E-3</v>
      </c>
    </row>
    <row r="28" spans="1:16" ht="15" x14ac:dyDescent="0.25">
      <c r="A28" s="106">
        <v>45047</v>
      </c>
      <c r="B28" s="28">
        <f>'Imported Oil Prices'!B27/'Imported Oil Prices'!B26-1</f>
        <v>-5.9173485554207317E-2</v>
      </c>
      <c r="C28" s="28">
        <f>'Imported Oil Prices'!C27/'Imported Oil Prices'!C26-1</f>
        <v>6.7453625632376557E-3</v>
      </c>
      <c r="D28" s="28">
        <f>'Imported Oil Prices'!D27/'Imported Oil Prices'!D26-1</f>
        <v>6.0539350577877293E-3</v>
      </c>
      <c r="E28" s="28">
        <f>'Imported Oil Prices'!E27/'Imported Oil Prices'!E26-1</f>
        <v>1.8237082066869803E-3</v>
      </c>
      <c r="F28" s="28">
        <f ca="1">'Imported Oil Prices'!F27/'Imported Oil Prices'!F26-1</f>
        <v>3.370434237341513E-3</v>
      </c>
      <c r="O28" s="102"/>
      <c r="P28" s="102"/>
    </row>
    <row r="29" spans="1:16" ht="15" x14ac:dyDescent="0.25">
      <c r="O29" s="102"/>
      <c r="P29" s="102"/>
    </row>
    <row r="30" spans="1:16" ht="15" x14ac:dyDescent="0.25">
      <c r="O30" s="102"/>
      <c r="P30" s="102"/>
    </row>
  </sheetData>
  <pageMargins left="0.7" right="0.7" top="0.75" bottom="0.75" header="0.3" footer="0.3"/>
  <drawing r:id="rId1"/>
  <legacy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2F91-5535-41C6-988B-7A88A4B60F51}">
  <dimension ref="A1:F27"/>
  <sheetViews>
    <sheetView workbookViewId="0">
      <selection activeCell="H7" sqref="H7"/>
    </sheetView>
  </sheetViews>
  <sheetFormatPr defaultRowHeight="12.75" x14ac:dyDescent="0.2"/>
  <cols>
    <col min="1" max="1" width="15.28515625" customWidth="1"/>
    <col min="2" max="2" width="16.42578125" customWidth="1"/>
    <col min="3" max="3" width="13.5703125" customWidth="1"/>
    <col min="6" max="6" width="9.5703125" bestFit="1" customWidth="1"/>
  </cols>
  <sheetData>
    <row r="1" spans="1:6" x14ac:dyDescent="0.2">
      <c r="A1" t="s">
        <v>70</v>
      </c>
    </row>
    <row r="2" spans="1:6" x14ac:dyDescent="0.2">
      <c r="A2" t="s">
        <v>68</v>
      </c>
      <c r="B2" t="s">
        <v>69</v>
      </c>
      <c r="C2" t="s">
        <v>50</v>
      </c>
      <c r="D2" t="s">
        <v>72</v>
      </c>
      <c r="E2" t="s">
        <v>73</v>
      </c>
      <c r="F2" t="s">
        <v>74</v>
      </c>
    </row>
    <row r="3" spans="1:6" ht="15" x14ac:dyDescent="0.25">
      <c r="A3" s="103">
        <v>44317</v>
      </c>
      <c r="B3" s="104">
        <v>65.876190476190473</v>
      </c>
      <c r="C3">
        <v>160.69999999999999</v>
      </c>
      <c r="D3">
        <v>159.4</v>
      </c>
      <c r="E3">
        <v>148.9</v>
      </c>
      <c r="F3" s="104">
        <f ca="1">AVERAGE(INDIRECT("'Cleaned Data'!T" &amp; (301 + (ROW()-3)*3)),INDIRECT("'Cleaned Data'!U" &amp; (301 + (ROW()-3)*3)),INDIRECT("'Cleaned Data'!W" &amp; (301 + (ROW()-3)*3)),INDIRECT("'Cleaned Data'!X" &amp; (301 + (ROW()-3)*3)),INDIRECT("'Cleaned Data'!Z" &amp; (301 + (ROW()-3)*3)),INDIRECT("'Cleaned Data'!Q" &amp; (301 + (ROW()-3)*3)), INDIRECT("'Cleaned Data'!AB"&amp;(301+(ROW()-3)*3))
)</f>
        <v>164.1142857142857</v>
      </c>
    </row>
    <row r="4" spans="1:6" ht="15" x14ac:dyDescent="0.25">
      <c r="A4" s="103">
        <v>44348</v>
      </c>
      <c r="B4" s="104">
        <v>70.369523809523812</v>
      </c>
      <c r="C4">
        <v>162.6</v>
      </c>
      <c r="D4">
        <v>159.80000000000001</v>
      </c>
      <c r="E4">
        <v>150.69999999999999</v>
      </c>
      <c r="F4" s="104">
        <f t="shared" ref="F4:F27" ca="1" si="0">AVERAGE(INDIRECT("'Cleaned Data'!T" &amp; (301 + (ROW()-3)*3)),INDIRECT("'Cleaned Data'!U" &amp; (301 + (ROW()-3)*3)),INDIRECT("'Cleaned Data'!W" &amp; (301 + (ROW()-3)*3)),INDIRECT("'Cleaned Data'!X" &amp; (301 + (ROW()-3)*3)),INDIRECT("'Cleaned Data'!Z" &amp; (301 + (ROW()-3)*3)),INDIRECT("'Cleaned Data'!Q" &amp; (301 + (ROW()-3)*3)), INDIRECT("'Cleaned Data'!AB"&amp;(301+(ROW()-3)*3))
)</f>
        <v>163.82857142857142</v>
      </c>
    </row>
    <row r="5" spans="1:6" ht="15" x14ac:dyDescent="0.25">
      <c r="A5" s="103">
        <v>44378</v>
      </c>
      <c r="B5" s="104">
        <v>69.980909090909094</v>
      </c>
      <c r="C5">
        <v>164</v>
      </c>
      <c r="D5">
        <v>160.69999999999999</v>
      </c>
      <c r="E5">
        <v>153.1</v>
      </c>
      <c r="F5" s="104">
        <f t="shared" ca="1" si="0"/>
        <v>164.6142857142857</v>
      </c>
    </row>
    <row r="6" spans="1:6" ht="15" x14ac:dyDescent="0.25">
      <c r="A6" s="103">
        <v>44409</v>
      </c>
      <c r="B6" s="104">
        <v>67.407826086956518</v>
      </c>
      <c r="C6">
        <v>164</v>
      </c>
      <c r="D6">
        <v>162.6</v>
      </c>
      <c r="E6">
        <v>154</v>
      </c>
      <c r="F6" s="104">
        <f t="shared" ca="1" si="0"/>
        <v>165.84285714285716</v>
      </c>
    </row>
    <row r="7" spans="1:6" ht="15" x14ac:dyDescent="0.25">
      <c r="A7" s="103">
        <v>44440</v>
      </c>
      <c r="B7" s="104">
        <v>71.153043478260869</v>
      </c>
      <c r="C7">
        <v>164</v>
      </c>
      <c r="D7">
        <v>162.6</v>
      </c>
      <c r="E7">
        <v>154</v>
      </c>
      <c r="F7" s="104">
        <f t="shared" ca="1" si="0"/>
        <v>165.87142857142857</v>
      </c>
    </row>
    <row r="8" spans="1:6" ht="15" x14ac:dyDescent="0.25">
      <c r="A8" s="103">
        <v>44470</v>
      </c>
      <c r="B8" s="104">
        <v>77.646666666666675</v>
      </c>
      <c r="C8">
        <v>167.7</v>
      </c>
      <c r="D8">
        <v>164.2</v>
      </c>
      <c r="E8">
        <v>155.69999999999999</v>
      </c>
      <c r="F8" s="104">
        <f t="shared" ca="1" si="0"/>
        <v>166.78571428571428</v>
      </c>
    </row>
    <row r="9" spans="1:6" ht="15" x14ac:dyDescent="0.25">
      <c r="A9" s="103">
        <v>44501</v>
      </c>
      <c r="B9" s="104">
        <v>72.453684210526319</v>
      </c>
      <c r="C9">
        <v>169.7</v>
      </c>
      <c r="D9">
        <v>163.9</v>
      </c>
      <c r="E9">
        <v>154.80000000000001</v>
      </c>
      <c r="F9" s="104">
        <f t="shared" ca="1" si="0"/>
        <v>167.72857142857143</v>
      </c>
    </row>
    <row r="10" spans="1:6" ht="15" x14ac:dyDescent="0.25">
      <c r="A10" s="103">
        <v>44531</v>
      </c>
      <c r="B10" s="104">
        <v>71.160799999999995</v>
      </c>
      <c r="C10">
        <v>168.2</v>
      </c>
      <c r="D10">
        <v>164.1</v>
      </c>
      <c r="E10">
        <v>155.69999999999999</v>
      </c>
      <c r="F10" s="104">
        <f t="shared" ca="1" si="0"/>
        <v>168.1142857142857</v>
      </c>
    </row>
    <row r="11" spans="1:6" ht="15" x14ac:dyDescent="0.25">
      <c r="A11" s="103">
        <v>44562</v>
      </c>
      <c r="B11" s="104">
        <v>90.629523809523803</v>
      </c>
      <c r="C11">
        <v>166.4</v>
      </c>
      <c r="D11">
        <v>164.2</v>
      </c>
      <c r="E11">
        <v>156.5</v>
      </c>
      <c r="F11" s="104">
        <f t="shared" ca="1" si="0"/>
        <v>168.84285714285716</v>
      </c>
    </row>
    <row r="12" spans="1:6" ht="15" x14ac:dyDescent="0.25">
      <c r="A12" s="103">
        <v>44593</v>
      </c>
      <c r="B12" s="104">
        <v>95.179199999999994</v>
      </c>
      <c r="C12">
        <v>166.2</v>
      </c>
      <c r="D12">
        <v>165.7</v>
      </c>
      <c r="E12">
        <v>156.9</v>
      </c>
      <c r="F12" s="104">
        <f t="shared" ca="1" si="0"/>
        <v>169.77142857142857</v>
      </c>
    </row>
    <row r="13" spans="1:6" ht="15" x14ac:dyDescent="0.25">
      <c r="A13" s="103">
        <v>44621</v>
      </c>
      <c r="B13" s="104">
        <v>102.60739130434783</v>
      </c>
      <c r="C13">
        <v>168.4</v>
      </c>
      <c r="D13">
        <v>167.2</v>
      </c>
      <c r="E13">
        <v>157.9</v>
      </c>
      <c r="F13" s="104">
        <f t="shared" ca="1" si="0"/>
        <v>170.91428571428574</v>
      </c>
    </row>
    <row r="14" spans="1:6" ht="15" x14ac:dyDescent="0.25">
      <c r="A14" s="103">
        <v>44652</v>
      </c>
      <c r="B14" s="104">
        <v>101.24901363636364</v>
      </c>
      <c r="C14">
        <v>170.8</v>
      </c>
      <c r="D14">
        <v>172.2</v>
      </c>
      <c r="E14">
        <v>162.6</v>
      </c>
      <c r="F14" s="104">
        <f t="shared" ca="1" si="0"/>
        <v>172.12857142857141</v>
      </c>
    </row>
    <row r="15" spans="1:6" ht="15" x14ac:dyDescent="0.25">
      <c r="A15" s="103">
        <v>44682</v>
      </c>
      <c r="B15" s="104">
        <v>104.40350000000001</v>
      </c>
      <c r="C15">
        <v>173.3</v>
      </c>
      <c r="D15">
        <v>174.6</v>
      </c>
      <c r="E15">
        <v>163</v>
      </c>
      <c r="F15" s="104">
        <f t="shared" ca="1" si="0"/>
        <v>172.81428571428572</v>
      </c>
    </row>
    <row r="16" spans="1:6" ht="15" x14ac:dyDescent="0.25">
      <c r="A16" s="103">
        <v>44713</v>
      </c>
      <c r="B16" s="104">
        <v>105.53172727272727</v>
      </c>
      <c r="C16">
        <v>174.9</v>
      </c>
      <c r="D16">
        <v>176</v>
      </c>
      <c r="E16">
        <v>161.1</v>
      </c>
      <c r="F16" s="104">
        <f t="shared" ca="1" si="0"/>
        <v>173.44285714285715</v>
      </c>
    </row>
    <row r="17" spans="1:6" ht="15" x14ac:dyDescent="0.25">
      <c r="A17" s="103">
        <v>44743</v>
      </c>
      <c r="B17" s="104">
        <v>97.97</v>
      </c>
      <c r="C17">
        <v>175</v>
      </c>
      <c r="D17">
        <v>179.6</v>
      </c>
      <c r="E17">
        <v>161.6</v>
      </c>
      <c r="F17" s="104">
        <f t="shared" ca="1" si="0"/>
        <v>174.17142857142858</v>
      </c>
    </row>
    <row r="18" spans="1:6" ht="15" x14ac:dyDescent="0.25">
      <c r="A18" s="103">
        <v>44774</v>
      </c>
      <c r="B18" s="104">
        <v>94.940454545454543</v>
      </c>
      <c r="C18">
        <v>176.3</v>
      </c>
      <c r="D18">
        <v>178.8</v>
      </c>
      <c r="E18">
        <v>161.9</v>
      </c>
      <c r="F18" s="104">
        <f t="shared" ca="1" si="0"/>
        <v>175.12857142857141</v>
      </c>
    </row>
    <row r="19" spans="1:6" ht="15" x14ac:dyDescent="0.25">
      <c r="A19" s="103">
        <v>44805</v>
      </c>
      <c r="B19" s="104">
        <v>88.293913043478256</v>
      </c>
      <c r="C19">
        <v>177.8</v>
      </c>
      <c r="D19">
        <v>179.5</v>
      </c>
      <c r="E19">
        <v>162.30000000000001</v>
      </c>
      <c r="F19" s="104">
        <f t="shared" ca="1" si="0"/>
        <v>175.87142857142859</v>
      </c>
    </row>
    <row r="20" spans="1:6" ht="15" x14ac:dyDescent="0.25">
      <c r="A20" s="103">
        <v>44835</v>
      </c>
      <c r="B20" s="104">
        <v>90.922272727272727</v>
      </c>
      <c r="C20">
        <v>179.6</v>
      </c>
      <c r="D20">
        <v>180.5</v>
      </c>
      <c r="E20">
        <v>162.9</v>
      </c>
      <c r="F20" s="104">
        <f t="shared" ca="1" si="0"/>
        <v>176.84285714285713</v>
      </c>
    </row>
    <row r="21" spans="1:6" ht="15" x14ac:dyDescent="0.25">
      <c r="A21" s="103">
        <v>44866</v>
      </c>
      <c r="B21" s="104">
        <v>86.99318181818181</v>
      </c>
      <c r="C21">
        <v>178.3</v>
      </c>
      <c r="D21">
        <v>181.3</v>
      </c>
      <c r="E21">
        <v>163</v>
      </c>
      <c r="F21" s="104">
        <f t="shared" ca="1" si="0"/>
        <v>177.72857142857143</v>
      </c>
    </row>
    <row r="22" spans="1:6" ht="15" x14ac:dyDescent="0.25">
      <c r="A22" s="103">
        <v>44896</v>
      </c>
      <c r="B22" s="104">
        <v>82.556363636363642</v>
      </c>
      <c r="C22">
        <v>175.9</v>
      </c>
      <c r="D22">
        <v>182</v>
      </c>
      <c r="E22">
        <v>163.4</v>
      </c>
      <c r="F22" s="104">
        <f t="shared" ca="1" si="0"/>
        <v>178.41428571428568</v>
      </c>
    </row>
    <row r="23" spans="1:6" ht="15" x14ac:dyDescent="0.25">
      <c r="A23" s="103">
        <v>44927</v>
      </c>
      <c r="B23" s="104">
        <v>79.045238095238091</v>
      </c>
      <c r="C23">
        <v>176.7</v>
      </c>
      <c r="D23">
        <v>182</v>
      </c>
      <c r="E23">
        <v>163.6</v>
      </c>
      <c r="F23" s="104">
        <f t="shared" ca="1" si="0"/>
        <v>179.62857142857141</v>
      </c>
    </row>
    <row r="24" spans="1:6" ht="15" x14ac:dyDescent="0.25">
      <c r="A24" s="103">
        <v>44958</v>
      </c>
      <c r="B24" s="104">
        <v>77.640500000000003</v>
      </c>
      <c r="C24">
        <v>177</v>
      </c>
      <c r="D24">
        <v>182.1</v>
      </c>
      <c r="E24">
        <v>164.2</v>
      </c>
      <c r="F24" s="104">
        <f t="shared" ca="1" si="0"/>
        <v>181.14285714285714</v>
      </c>
    </row>
    <row r="25" spans="1:6" ht="15" x14ac:dyDescent="0.25">
      <c r="A25" s="103">
        <v>44986</v>
      </c>
      <c r="B25" s="104">
        <v>73.509583333333339</v>
      </c>
      <c r="C25">
        <v>177</v>
      </c>
      <c r="D25">
        <v>181.9</v>
      </c>
      <c r="E25">
        <v>164.2</v>
      </c>
      <c r="F25" s="104">
        <f t="shared" ca="1" si="0"/>
        <v>181.14285714285714</v>
      </c>
    </row>
    <row r="26" spans="1:6" ht="15" x14ac:dyDescent="0.25">
      <c r="A26" s="103">
        <v>45017</v>
      </c>
      <c r="B26" s="104">
        <v>78.057000000000002</v>
      </c>
      <c r="C26">
        <v>177.9</v>
      </c>
      <c r="D26">
        <v>181.7</v>
      </c>
      <c r="E26">
        <v>164.5</v>
      </c>
      <c r="F26" s="104">
        <f t="shared" ca="1" si="0"/>
        <v>182.25714285714284</v>
      </c>
    </row>
    <row r="27" spans="1:6" ht="15" x14ac:dyDescent="0.25">
      <c r="A27" s="103">
        <v>45047</v>
      </c>
      <c r="B27" s="104">
        <v>73.438095238095244</v>
      </c>
      <c r="C27">
        <v>179.1</v>
      </c>
      <c r="D27">
        <v>182.8</v>
      </c>
      <c r="E27">
        <v>164.8</v>
      </c>
      <c r="F27" s="104">
        <f t="shared" ca="1" si="0"/>
        <v>182.87142857142859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551817-2846-4A42-9966-2DE9A5739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All_India_Index_Upto_April23 (1</vt:lpstr>
      <vt:lpstr>Cleaned Data</vt:lpstr>
      <vt:lpstr>PS1</vt:lpstr>
      <vt:lpstr>PS2</vt:lpstr>
      <vt:lpstr>PS3</vt:lpstr>
      <vt:lpstr>PS4</vt:lpstr>
      <vt:lpstr>PS5</vt:lpstr>
      <vt:lpstr>Imported Oil Prices</vt:lpstr>
      <vt:lpstr>'PS1'!Extract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 M</cp:lastModifiedBy>
  <dcterms:modified xsi:type="dcterms:W3CDTF">2025-12-03T17:36:45Z</dcterms:modified>
</cp:coreProperties>
</file>